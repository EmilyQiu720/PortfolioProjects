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df98c011a44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f6321cabbb9481d"/>
    <x:sheet xmlns:r="http://schemas.openxmlformats.org/officeDocument/2006/relationships" name="Assumptions" sheetId="2" r:id="Re5cf0e073e464a23"/>
    <x:sheet xmlns:r="http://schemas.openxmlformats.org/officeDocument/2006/relationships" name="Historical Actuals" sheetId="3" r:id="R3fc3a11efa864f03"/>
    <x:sheet xmlns:r="http://schemas.openxmlformats.org/officeDocument/2006/relationships" name="Hiring Plan" sheetId="4" r:id="R4c27e4fe19b5436f"/>
    <x:sheet xmlns:r="http://schemas.openxmlformats.org/officeDocument/2006/relationships" name="Scenario Controls" sheetId="5" r:id="R45c540274e264852"/>
    <x:sheet xmlns:r="http://schemas.openxmlformats.org/officeDocument/2006/relationships" name="Revenue Forecast" sheetId="6" r:id="R73fa428dfbcb4228"/>
    <x:sheet xmlns:r="http://schemas.openxmlformats.org/officeDocument/2006/relationships" name="Expense Forecast" sheetId="7" r:id="R14e2138b610a4b26"/>
    <x:sheet xmlns:r="http://schemas.openxmlformats.org/officeDocument/2006/relationships" name="Cash Flow" sheetId="8" r:id="Rb0ed696f634e4b90"/>
    <x:sheet xmlns:r="http://schemas.openxmlformats.org/officeDocument/2006/relationships" name="Sensitivity Analysis" sheetId="9" r:id="Rdf099101abc04462"/>
    <x:sheet xmlns:r="http://schemas.openxmlformats.org/officeDocument/2006/relationships" name="Dashboard" sheetId="10" r:id="R128ee539dbdd4e4f"/>
    <x:sheet xmlns:r="http://schemas.openxmlformats.org/officeDocument/2006/relationships" name="Validation Checks" sheetId="11" r:id="R2ea09e7037f941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m yyyy"/>
    <x:numFmt numFmtId="201" formatCode="$#,##0"/>
    <x:numFmt numFmtId="202" formatCode="#,##0"/>
    <x:numFmt numFmtId="203" formatCode="0.0%"/>
    <x:numFmt numFmtId="204" formatCode="yyyy-mm-dd"/>
    <x:numFmt numFmtId="205" formatCode="0.0"/>
    <x:numFmt numFmtId="206" formatCode="#,##0.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6"/>
      <x:color rgb="FF111827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b/>
      <x:sz val="10"/>
      <x:color rgb="FF111827"/>
      <x:name val="Aptos"/>
    </x:font>
    <x:font>
      <x:b/>
      <x:sz val="13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  <x:fill>
      <x:patternFill patternType="solid">
        <x:fgColor rgb="FFECFEFF"/>
      </x:patternFill>
    </x:fill>
  </x:fills>
  <x:borders count="4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6" borderId="0" xfId="0" applyNumberFormat="1" applyFont="1" applyFill="1" applyBorder="1"/>
    <x:xf numFmtId="0" fontId="3" fillId="7" borderId="2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200" fontId="0" fillId="0" borderId="0" xfId="0" applyNumberFormat="1" applyFont="1" applyFill="1" applyBorder="1"/>
    <x:xf numFmtId="0" fontId="3" fillId="4" borderId="3" xfId="0" applyNumberFormat="1" applyFont="1" applyFill="1" applyBorder="1"/>
    <x:xf numFmtId="0" fontId="2" fillId="6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5" fillId="4" borderId="0" xfId="0" applyNumberFormat="1" applyFont="1" applyFill="1" applyBorder="1"/>
    <x:xf numFmtId="0" fontId="7" fillId="5" borderId="0" xfId="0" applyNumberFormat="1" applyFont="1" applyFill="1" applyBorder="1"/>
    <x:xf numFmtId="0" fontId="5" fillId="4" borderId="1" xfId="0" applyNumberFormat="1" applyFont="1" applyFill="1" applyBorder="1"/>
    <x:xf numFmtId="0" fontId="5" fillId="7" borderId="2" xfId="0" applyNumberFormat="1" applyFont="1" applyFill="1" applyBorder="1"/>
    <x:xf numFmtId="0" fontId="6" fillId="6" borderId="0" xfId="0" applyNumberFormat="1" applyFont="1" applyFill="1" applyBorder="1"/>
    <x:xf numFmtId="0" fontId="7" fillId="7" borderId="0" xfId="0" applyNumberFormat="1" applyFont="1" applyFill="1" applyBorder="1"/>
    <x:xf numFmtId="200" fontId="6" fillId="0" borderId="0" xfId="0" applyNumberFormat="1" applyFont="1" applyFill="1" applyBorder="1"/>
    <x:xf numFmtId="0" fontId="5" fillId="4" borderId="3" xfId="0" applyNumberFormat="1" applyFont="1" applyFill="1" applyBorder="1"/>
    <x:xf numFmtId="0" fontId="5" fillId="4" borderId="2" xfId="0" applyNumberFormat="1" applyFont="1" applyFill="1" applyBorder="1"/>
    <x:xf numFmtId="0" fontId="7" fillId="6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201" fontId="5" fillId="7" borderId="2" xfId="0" applyNumberFormat="1" applyFont="1" applyFill="1" applyBorder="1"/>
    <x:xf numFmtId="201" fontId="7" fillId="7" borderId="0" xfId="0" applyNumberFormat="1" applyFont="1" applyFill="1" applyBorder="1"/>
    <x:xf numFmtId="202" fontId="7" fillId="7" borderId="0" xfId="0" applyNumberFormat="1" applyFont="1" applyFill="1" applyBorder="1"/>
    <x:xf numFmtId="203" fontId="7" fillId="7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200" fontId="5" fillId="4" borderId="0" xfId="0" applyNumberFormat="1" applyFont="1" applyFill="1" applyBorder="1"/>
    <x:xf numFmtId="200" fontId="5" fillId="4" borderId="3" xfId="0" applyNumberFormat="1" applyFont="1" applyFill="1" applyBorder="1"/>
    <x:xf numFmtId="200" fontId="5" fillId="4" borderId="2" xfId="0" applyNumberFormat="1" applyFont="1" applyFill="1" applyBorder="1"/>
    <x:xf numFmtId="205" fontId="6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8" borderId="0" xfId="0" applyNumberFormat="1" applyFont="1" applyFill="1" applyBorder="1"/>
    <x:xf numFmtId="0" fontId="9" fillId="8" borderId="0" xfId="0" applyNumberFormat="1" applyFont="1" applyFill="1" applyBorder="1"/>
    <x:xf numFmtId="201" fontId="9" fillId="8" borderId="0" xfId="0" applyNumberFormat="1" applyFont="1" applyFill="1" applyBorder="1"/>
    <x:xf numFmtId="205" fontId="9" fillId="8" borderId="0" xfId="0" applyNumberFormat="1" applyFont="1" applyFill="1" applyBorder="1"/>
    <x:xf numFmtId="202" fontId="9" fillId="8" borderId="0" xfId="0" applyNumberFormat="1" applyFont="1" applyFill="1" applyBorder="1"/>
    <x:xf numFmtId="201" fontId="6" fillId="4" borderId="0" xfId="0" applyNumberFormat="1" applyFont="1" applyFill="1" applyBorder="1"/>
    <x:xf numFmtId="201" fontId="5" fillId="4" borderId="0" xfId="0" applyNumberFormat="1" applyFont="1" applyFill="1" applyBorder="1"/>
    <x:xf numFmtId="201" fontId="5" fillId="4" borderId="1" xfId="0" applyNumberFormat="1" applyFont="1" applyFill="1" applyBorder="1"/>
    <x:xf numFmtId="201" fontId="5" fillId="4" borderId="3" xfId="0" applyNumberFormat="1" applyFont="1" applyFill="1" applyBorder="1"/>
    <x:xf numFmtId="201" fontId="5" fillId="4" borderId="2" xfId="0" applyNumberFormat="1" applyFont="1" applyFill="1" applyBorder="1"/>
    <x:xf numFmtId="0" fontId="6" fillId="5" borderId="0" xfId="0" applyNumberFormat="1" applyFont="1" applyFill="1" applyBorder="1"/>
    <x:xf numFmtId="0" fontId="9" fillId="5" borderId="0" xfId="0" applyNumberFormat="1" applyFont="1" applyFill="1" applyBorder="1"/>
    <x:xf numFmtId="206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73242ef5924605" /><Relationship Type="http://schemas.openxmlformats.org/officeDocument/2006/relationships/theme" Target="/xl/theme/theme1.xml" Id="R1da22523651746f1" /><Relationship Type="http://schemas.openxmlformats.org/officeDocument/2006/relationships/sharedStrings" Target="/xl/sharedStrings.xml" Id="R4748f171a73f4957" /><Relationship Type="http://schemas.openxmlformats.org/officeDocument/2006/relationships/worksheet" Target="/xl/worksheets/sheet1.xml" Id="Raf6321cabbb9481d" /><Relationship Type="http://schemas.openxmlformats.org/officeDocument/2006/relationships/worksheet" Target="/xl/worksheets/sheet2.xml" Id="Re5cf0e073e464a23" /><Relationship Type="http://schemas.openxmlformats.org/officeDocument/2006/relationships/worksheet" Target="/xl/worksheets/sheet3.xml" Id="R3fc3a11efa864f03" /><Relationship Type="http://schemas.openxmlformats.org/officeDocument/2006/relationships/worksheet" Target="/xl/worksheets/sheet4.xml" Id="R4c27e4fe19b5436f" /><Relationship Type="http://schemas.openxmlformats.org/officeDocument/2006/relationships/worksheet" Target="/xl/worksheets/sheet5.xml" Id="R45c540274e264852" /><Relationship Type="http://schemas.openxmlformats.org/officeDocument/2006/relationships/worksheet" Target="/xl/worksheets/sheet6.xml" Id="R73fa428dfbcb4228" /><Relationship Type="http://schemas.openxmlformats.org/officeDocument/2006/relationships/worksheet" Target="/xl/worksheets/sheet7.xml" Id="R14e2138b610a4b26" /><Relationship Type="http://schemas.openxmlformats.org/officeDocument/2006/relationships/worksheet" Target="/xl/worksheets/sheet8.xml" Id="Rb0ed696f634e4b90" /><Relationship Type="http://schemas.openxmlformats.org/officeDocument/2006/relationships/worksheet" Target="/xl/worksheets/sheet9.xml" Id="Rdf099101abc04462" /><Relationship Type="http://schemas.openxmlformats.org/officeDocument/2006/relationships/worksheet" Target="/xl/worksheets/sheet10.xml" Id="R128ee539dbdd4e4f" /><Relationship Type="http://schemas.openxmlformats.org/officeDocument/2006/relationships/worksheet" Target="/xl/worksheets/sheet11.xml" Id="R2ea09e7037f941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9af4dd45da4979" /><Relationship Type="http://schemas.openxmlformats.org/officeDocument/2006/relationships/chart" Target="/xl/drawings/charts/chart2.xml" Id="R75b28f52f9644199" /><Relationship Type="http://schemas.openxmlformats.org/officeDocument/2006/relationships/chart" Target="/xl/drawings/charts/chart3.xml" Id="R67d9a07137224435" /><Relationship Type="http://schemas.openxmlformats.org/officeDocument/2006/relationships/chart" Target="/xl/drawings/charts/chart4.xml" Id="R3df960c14e154fe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MRR Trend ($)</a:t>
            </a:r>
          </a:p>
        </c:rich>
      </c:tx>
    </c:title>
    <c:plotArea>
      <c:lineChart>
        <c:grouping val="standard"/>
        <c:ser>
          <c:idx val="0"/>
          <c:order val="0"/>
          <c:tx>
            <c:v>MRR</c:v>
          </c:tx>
          <c:marker>
            <c:symbol val="none"/>
          </c:marker>
          <c:cat>
            <c:strRef>
              <c:f>'Dashboard'!$A$8:$A$31</c:f>
              <c:strCache>
                <c:ptCount val="0"/>
              </c:strCache>
            </c:strRef>
          </c:cat>
          <c:val>
            <c:numRef>
              <c:f>'Dashboard'!$B$8:$B$31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3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Ending Cash Trend ($)</a:t>
            </a:r>
          </a:p>
        </c:rich>
      </c:tx>
    </c:title>
    <c:plotArea>
      <c:lineChart>
        <c:grouping val="standard"/>
        <c:ser>
          <c:idx val="0"/>
          <c:order val="0"/>
          <c:tx>
            <c:v>Ending Cash</c:v>
          </c:tx>
          <c:marker>
            <c:symbol val="none"/>
          </c:marker>
          <c:cat>
            <c:strRef>
              <c:f>'Dashboard'!$A$8:$A$31</c:f>
              <c:strCache>
                <c:ptCount val="0"/>
              </c:strCache>
            </c:strRef>
          </c:cat>
          <c:val>
            <c:numRef>
              <c:f>'Dashboard'!$C$8:$C$31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3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Net Burn ($)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Net Burn</c:v>
          </c:tx>
          <c:cat>
            <c:strRef>
              <c:f>'Dashboard'!$A$8:$A$31</c:f>
              <c:strCache>
                <c:ptCount val="0"/>
              </c:strCache>
            </c:strRef>
          </c:cat>
          <c:val>
            <c:numRef>
              <c:f>'Dashboard'!$D$8:$D$31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3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Headcount Plan (FTE)</a:t>
            </a:r>
          </a:p>
        </c:rich>
      </c:tx>
    </c:title>
    <c:plotArea>
      <c:lineChart>
        <c:grouping val="standard"/>
        <c:ser>
          <c:idx val="0"/>
          <c:order val="0"/>
          <c:tx>
            <c:v>Headcount</c:v>
          </c:tx>
          <c:marker>
            <c:symbol val="none"/>
          </c:marker>
          <c:cat>
            <c:strRef>
              <c:f>'Dashboard'!$F$8:$F$31</c:f>
              <c:strCache>
                <c:ptCount val="0"/>
              </c:strCache>
            </c:strRef>
          </c:cat>
          <c:val>
            <c:numRef>
              <c:f>'Dashboard'!$G$8:$G$31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3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9af4dd45da4979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b28f52f9644199"/>
        </a:graphicData>
      </a:graphic>
    </xdr:graphicFrame>
    <xdr:clientData/>
  </xdr:twoCellAnchor>
  <xdr:twoCellAnchor>
    <xdr:from>
      <xdr:col>17</xdr:col>
      <xdr:colOff>0</xdr:colOff>
      <xdr:row>2</xdr:row>
      <xdr:rowOff>0</xdr:rowOff>
    </xdr:from>
    <xdr:to>
      <xdr:col>25</xdr:col>
      <xdr:colOff>0</xdr:colOff>
      <xdr:row>17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d9a07137224435"/>
        </a:graphicData>
      </a:graphic>
    </xdr:graphicFrame>
    <xdr:clientData/>
  </xdr:twoCellAnchor>
  <xdr:twoCellAnchor>
    <xdr:from>
      <xdr:col>17</xdr:col>
      <xdr:colOff>0</xdr:colOff>
      <xdr:row>18</xdr:row>
      <xdr:rowOff>0</xdr:rowOff>
    </xdr:from>
    <xdr:to>
      <xdr:col>25</xdr:col>
      <xdr:colOff>0</xdr:colOff>
      <xdr:row>33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f960c14e154fe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5558a0ae56c842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75" hidden="0" customWidth="1"/>
    <x:col min="2" max="2" width="9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15" hidden="0" customHeight="1">
      <x:c r="A1" s="20" t="str">
        <x:v>FP&amp;A Scenario Planning Model</x:v>
      </x:c>
      <x:c r="B1" s="20" t="str">
        <x:v>FP&amp;A Scenario Planning Model</x:v>
      </x:c>
      <x:c r="C1" s="20" t="str">
        <x:v>FP&amp;A Scenario Planning Model</x:v>
      </x:c>
      <x:c r="D1" s="20" t="str">
        <x:v>FP&amp;A Scenario Planning Model</x:v>
      </x:c>
      <x:c r="E1" s="20" t="str">
        <x:v>FP&amp;A Scenario Planning Model</x:v>
      </x:c>
      <x:c r="F1" s="20" t="str">
        <x:v>FP&amp;A Scenario Planning Model</x:v>
      </x:c>
      <x:c r="G1" s="20" t="str">
        <x:v>FP&amp;A Scenario Planning Model</x:v>
      </x:c>
      <x:c r="H1" s="20" t="str">
        <x:v>FP&amp;A Scenario Planning Model</x:v>
      </x:c>
    </x:row>
    <x:row r="2" ht="15" hidden="0" customHeight="1">
      <x:c r="A2" s="21"/>
      <x:c r="B2" s="21"/>
      <x:c r="C2" s="21"/>
      <x:c r="D2" s="21"/>
      <x:c r="E2" s="21"/>
      <x:c r="F2" s="21"/>
      <x:c r="G2" s="21"/>
      <x:c r="H2" s="21"/>
    </x:row>
    <x:row r="3" ht="15" hidden="0" customHeight="1">
      <x:c r="A3" s="22" t="str">
        <x:v>Purpose</x:v>
      </x:c>
      <x:c r="B3" s="23" t="str">
        <x:v>Forecast SaaS growth, expenses, cash, burn, runway, and sensitivity under multiple scenarios.</x:v>
      </x:c>
      <x:c r="C3" s="21"/>
      <x:c r="D3" s="21"/>
      <x:c r="E3" s="21"/>
      <x:c r="F3" s="21"/>
      <x:c r="G3" s="21"/>
      <x:c r="H3" s="21"/>
    </x:row>
    <x:row r="4" ht="15" hidden="0" customHeight="1">
      <x:c r="A4" s="22" t="str">
        <x:v>Audience</x:v>
      </x:c>
      <x:c r="B4" s="23" t="str">
        <x:v>Executive team, finance, strategy, and operating leaders.</x:v>
      </x:c>
      <x:c r="C4" s="21"/>
      <x:c r="D4" s="21"/>
      <x:c r="E4" s="21"/>
      <x:c r="F4" s="21"/>
      <x:c r="G4" s="21"/>
      <x:c r="H4" s="21"/>
    </x:row>
    <x:row r="5" ht="15" hidden="0" customHeight="1">
      <x:c r="A5" s="22" t="str">
        <x:v>Model Horizon</x:v>
      </x:c>
      <x:c r="B5" s="23" t="str">
        <x:v>24 monthly forecast periods from Jan 2026 through Dec 2027.</x:v>
      </x:c>
      <x:c r="C5" s="21"/>
      <x:c r="D5" s="21"/>
      <x:c r="E5" s="21"/>
      <x:c r="F5" s="21"/>
      <x:c r="G5" s="21"/>
      <x:c r="H5" s="21"/>
    </x:row>
    <x:row r="6" ht="15" hidden="0" customHeight="1">
      <x:c r="A6" s="22" t="str">
        <x:v>Scenario Logic</x:v>
      </x:c>
      <x:c r="B6" s="23" t="str">
        <x:v>Change selected scenario on Scenario Controls to switch all forecast assumptions.</x:v>
      </x:c>
      <x:c r="C6" s="21"/>
      <x:c r="D6" s="21"/>
      <x:c r="E6" s="21"/>
      <x:c r="F6" s="21"/>
      <x:c r="G6" s="21"/>
      <x:c r="H6" s="21"/>
    </x:row>
    <x:row r="7" ht="15" hidden="0" customHeight="1">
      <x:c r="A7" s="22" t="str">
        <x:v>Input Tabs</x:v>
      </x:c>
      <x:c r="B7" s="23" t="str">
        <x:v>Assumptions, Historical Actuals, Hiring Plan.</x:v>
      </x:c>
      <x:c r="C7" s="21"/>
      <x:c r="D7" s="21"/>
      <x:c r="E7" s="21"/>
      <x:c r="F7" s="21"/>
      <x:c r="G7" s="21"/>
      <x:c r="H7" s="21"/>
    </x:row>
    <x:row r="8" ht="15" hidden="0" customHeight="1">
      <x:c r="A8" s="22" t="str">
        <x:v>Calculation Tabs</x:v>
      </x:c>
      <x:c r="B8" s="23" t="str">
        <x:v>Revenue Forecast, Expense Forecast, Cash Flow, Sensitivity Analysis.</x:v>
      </x:c>
      <x:c r="C8" s="21"/>
      <x:c r="D8" s="21"/>
      <x:c r="E8" s="21"/>
      <x:c r="F8" s="21"/>
      <x:c r="G8" s="21"/>
      <x:c r="H8" s="21"/>
    </x:row>
    <x:row r="9" ht="15" hidden="0" customHeight="1">
      <x:c r="A9" s="22" t="str">
        <x:v>Output Tabs</x:v>
      </x:c>
      <x:c r="B9" s="23" t="str">
        <x:v>Dashboard and Validation Checks.</x:v>
      </x:c>
      <x:c r="C9" s="21"/>
      <x:c r="D9" s="21"/>
      <x:c r="E9" s="21"/>
      <x:c r="F9" s="21"/>
      <x:c r="G9" s="21"/>
      <x:c r="H9" s="21"/>
    </x:row>
    <x:row r="10" ht="15" hidden="0" customHeight="1">
      <x:c r="A10" s="22" t="str">
        <x:v>Color Convention</x:v>
      </x:c>
      <x:c r="B10" s="23" t="str">
        <x:v>Teal headers = source/input tables; blue headers = calculations; dark header = presentation output.</x:v>
      </x:c>
      <x:c r="C10" s="21"/>
      <x:c r="D10" s="21"/>
      <x:c r="E10" s="21"/>
      <x:c r="F10" s="21"/>
      <x:c r="G10" s="21"/>
      <x:c r="H10" s="21"/>
    </x:row>
    <x:row r="11" ht="15" hidden="0" customHeight="1">
      <x:c r="A11" s="22" t="str">
        <x:v>Refresh</x:v>
      </x:c>
      <x:c r="B11" s="23" t="str">
        <x:v>Update source CSVs and rerun scripts/build_workbook.mjs.</x:v>
      </x:c>
      <x:c r="C11" s="21"/>
      <x:c r="D11" s="21"/>
      <x:c r="E11" s="21"/>
      <x:c r="F11" s="21"/>
      <x:c r="G11" s="21"/>
      <x:c r="H11" s="21"/>
    </x:row>
    <x:row r="12" ht="15" hidden="0" customHeight="1">
      <x:c r="A12" s="22" t="str">
        <x:v>Owner</x:v>
      </x:c>
      <x:c r="B12" s="23" t="str">
        <x:v>Emily Qiu</x:v>
      </x:c>
      <x:c r="C12" s="21"/>
      <x:c r="D12" s="21"/>
      <x:c r="E12" s="21"/>
      <x:c r="F12" s="21"/>
      <x:c r="G12" s="21"/>
      <x:c r="H12" s="21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799991607666" hidden="0" customWidth="1"/>
    <x:col min="2" max="2" width="11" hidden="0" customWidth="1"/>
    <x:col min="3" max="3" width="15.5" hidden="0" customWidth="1"/>
    <x:col min="4" max="4" width="11.5" hidden="0" customWidth="1"/>
    <x:col min="5" max="5" width="20.3799991607666" hidden="0" customWidth="1"/>
    <x:col min="6" max="6" width="12.5" hidden="0" customWidth="1"/>
    <x:col min="7" max="7" width="15.75" hidden="0" customWidth="1"/>
    <x:col min="8" max="8" width="11.380000114440918" hidden="0" customWidth="1"/>
    <x:col min="9" max="9" width="11.130000114440918" hidden="0" customWidth="1"/>
    <x:col min="10" max="10" width="15.25" hidden="0" customWidth="1"/>
    <x:col min="11" max="11" width="17.25" hidden="0" customWidth="1"/>
    <x:col min="12" max="12" width="13.75" hidden="0" customWidth="1"/>
    <x:col min="13" max="13" width="19.5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15" hidden="0" customHeight="1">
      <x:c r="A1" s="24" t="str">
        <x:v>Scenario Assumptions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</x:row>
    <x:row r="2" ht="15" hidden="0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</x:row>
    <x:row r="3" ht="15" hidden="0" customHeight="1">
      <x:c r="A3" s="25" t="str">
        <x:v>Scenario</x:v>
      </x:c>
      <x:c r="B3" s="25" t="str">
        <x:v>Starting_Cash</x:v>
      </x:c>
      <x:c r="C3" s="25" t="str">
        <x:v>Starting_Customers</x:v>
      </x:c>
      <x:c r="D3" s="25" t="str">
        <x:v>Starting_ARPA</x:v>
      </x:c>
      <x:c r="E3" s="25" t="str">
        <x:v>Monthly_New_Customers</x:v>
      </x:c>
      <x:c r="F3" s="25" t="str">
        <x:v>Monthly_Churn</x:v>
      </x:c>
      <x:c r="G3" s="25" t="str">
        <x:v>Monthly_Expansion</x:v>
      </x:c>
      <x:c r="H3" s="25" t="str">
        <x:v>ARPA_Growth</x:v>
      </x:c>
      <x:c r="I3" s="25" t="str">
        <x:v>Gross_Margin</x:v>
      </x:c>
      <x:c r="J3" s="25" t="str">
        <x:v>CAC_Per_Customer</x:v>
      </x:c>
      <x:c r="K3" s="25" t="str">
        <x:v>Base_Payroll_Per_FTE</x:v>
      </x:c>
      <x:c r="L3" s="25" t="str">
        <x:v>NonPayroll_Opex</x:v>
      </x:c>
      <x:c r="M3" s="25" t="str">
        <x:v>Sales_Marketing_Budget</x:v>
      </x:c>
    </x:row>
    <x:row r="4" ht="15" hidden="0" customHeight="1">
      <x:c r="A4" s="21" t="str">
        <x:v>Base</x:v>
      </x:c>
      <x:c r="B4" s="35" t="n">
        <x:v>20000000</x:v>
      </x:c>
      <x:c r="C4" s="36" t="n">
        <x:v>820</x:v>
      </x:c>
      <x:c r="D4" s="36" t="n">
        <x:v>940</x:v>
      </x:c>
      <x:c r="E4" s="36" t="n">
        <x:v>42</x:v>
      </x:c>
      <x:c r="F4" s="37" t="n">
        <x:v>0.028</x:v>
      </x:c>
      <x:c r="G4" s="37" t="n">
        <x:v>0.012</x:v>
      </x:c>
      <x:c r="H4" s="37" t="n">
        <x:v>0.006</x:v>
      </x:c>
      <x:c r="I4" s="37" t="n">
        <x:v>0.78</x:v>
      </x:c>
      <x:c r="J4" s="35" t="n">
        <x:v>1850</x:v>
      </x:c>
      <x:c r="K4" s="35" t="n">
        <x:v>14500</x:v>
      </x:c>
      <x:c r="L4" s="35" t="n">
        <x:v>215000</x:v>
      </x:c>
      <x:c r="M4" s="35" t="n">
        <x:v>140000</x:v>
      </x:c>
    </x:row>
    <x:row r="5" ht="15" hidden="0" customHeight="1">
      <x:c r="A5" s="21" t="str">
        <x:v>Upside</x:v>
      </x:c>
      <x:c r="B5" s="35" t="n">
        <x:v>20000000</x:v>
      </x:c>
      <x:c r="C5" s="36" t="n">
        <x:v>820</x:v>
      </x:c>
      <x:c r="D5" s="36" t="n">
        <x:v>940</x:v>
      </x:c>
      <x:c r="E5" s="36" t="n">
        <x:v>58</x:v>
      </x:c>
      <x:c r="F5" s="37" t="n">
        <x:v>0.02</x:v>
      </x:c>
      <x:c r="G5" s="37" t="n">
        <x:v>0.018</x:v>
      </x:c>
      <x:c r="H5" s="37" t="n">
        <x:v>0.01</x:v>
      </x:c>
      <x:c r="I5" s="37" t="n">
        <x:v>0.81</x:v>
      </x:c>
      <x:c r="J5" s="35" t="n">
        <x:v>1700</x:v>
      </x:c>
      <x:c r="K5" s="35" t="n">
        <x:v>14500</x:v>
      </x:c>
      <x:c r="L5" s="35" t="n">
        <x:v>245000</x:v>
      </x:c>
      <x:c r="M5" s="35" t="n">
        <x:v>175000</x:v>
      </x:c>
    </x:row>
    <x:row r="6" ht="15" hidden="0" customHeight="1">
      <x:c r="A6" s="21" t="str">
        <x:v>Downside</x:v>
      </x:c>
      <x:c r="B6" s="35" t="n">
        <x:v>20000000</x:v>
      </x:c>
      <x:c r="C6" s="36" t="n">
        <x:v>820</x:v>
      </x:c>
      <x:c r="D6" s="36" t="n">
        <x:v>940</x:v>
      </x:c>
      <x:c r="E6" s="36" t="n">
        <x:v>28</x:v>
      </x:c>
      <x:c r="F6" s="37" t="n">
        <x:v>0.042</x:v>
      </x:c>
      <x:c r="G6" s="37" t="n">
        <x:v>0.006</x:v>
      </x:c>
      <x:c r="H6" s="37" t="n">
        <x:v>0.002</x:v>
      </x:c>
      <x:c r="I6" s="37" t="n">
        <x:v>0.74</x:v>
      </x:c>
      <x:c r="J6" s="35" t="n">
        <x:v>2200</x:v>
      </x:c>
      <x:c r="K6" s="35" t="n">
        <x:v>14500</x:v>
      </x:c>
      <x:c r="L6" s="35" t="n">
        <x:v>195000</x:v>
      </x:c>
      <x:c r="M6" s="35" t="n">
        <x:v>105000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6299991607666" hidden="0" customWidth="1"/>
    <x:col min="2" max="2" width="8.630000114440918" hidden="0" customWidth="1"/>
    <x:col min="3" max="3" width="6.130000114440918" hidden="0" customWidth="1"/>
    <x:col min="4" max="4" width="7.130000114440918" hidden="0" customWidth="1"/>
    <x:col min="5" max="5" width="11.130000114440918" hidden="0" customWidth="1"/>
    <x:col min="6" max="6" width="6.130000114440918" hidden="0" customWidth="1"/>
    <x:col min="7" max="7" width="13.75" hidden="0" customWidth="1"/>
    <x:col min="8" max="8" width="13.130000114440918" hidden="0" customWidth="1"/>
    <x:col min="9" max="9" width="10.25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15" hidden="0" customHeight="1">
      <x:c r="A1" s="24" t="str">
        <x:v>Historical Actuals</x:v>
      </x:c>
      <x:c r="B1" s="21"/>
      <x:c r="C1" s="21"/>
      <x:c r="D1" s="21"/>
      <x:c r="E1" s="21"/>
      <x:c r="F1" s="21"/>
      <x:c r="G1" s="21"/>
      <x:c r="H1" s="21"/>
      <x:c r="I1" s="21"/>
    </x:row>
    <x:row r="2" ht="15" hidden="0" customHeight="1">
      <x:c r="A2" s="21"/>
      <x:c r="B2" s="21"/>
      <x:c r="C2" s="21"/>
      <x:c r="D2" s="21"/>
      <x:c r="E2" s="21"/>
      <x:c r="F2" s="21"/>
      <x:c r="G2" s="21"/>
      <x:c r="H2" s="21"/>
      <x:c r="I2" s="21"/>
    </x:row>
    <x:row r="3" ht="15" hidden="0" customHeight="1">
      <x:c r="A3" s="25" t="str">
        <x:v>Month</x:v>
      </x:c>
      <x:c r="B3" s="25" t="str">
        <x:v>Customers</x:v>
      </x:c>
      <x:c r="C3" s="25" t="str">
        <x:v>MRR</x:v>
      </x:c>
      <x:c r="D3" s="25" t="str">
        <x:v>ARR</x:v>
      </x:c>
      <x:c r="E3" s="25" t="str">
        <x:v>Gross_Margin</x:v>
      </x:c>
      <x:c r="F3" s="25" t="str">
        <x:v>Payroll</x:v>
      </x:c>
      <x:c r="G3" s="25" t="str">
        <x:v>NonPayroll_Opex</x:v>
      </x:c>
      <x:c r="H3" s="25" t="str">
        <x:v>Sales_Marketing</x:v>
      </x:c>
      <x:c r="I3" s="25" t="str">
        <x:v>Ending_Cash</x:v>
      </x:c>
    </x:row>
    <x:row r="4" ht="15" hidden="0" customHeight="1">
      <x:c r="A4" s="38" t="str">
        <x:v>2025-07-01</x:v>
      </x:c>
      <x:c r="B4" s="36" t="n">
        <x:v>690</x:v>
      </x:c>
      <x:c r="C4" s="35" t="n">
        <x:v>621000</x:v>
      </x:c>
      <x:c r="D4" s="35" t="n">
        <x:v>7452000</x:v>
      </x:c>
      <x:c r="E4" s="37" t="n">
        <x:v>0.76</x:v>
      </x:c>
      <x:c r="F4" s="35" t="n">
        <x:v>705000</x:v>
      </x:c>
      <x:c r="G4" s="35" t="n">
        <x:v>178000</x:v>
      </x:c>
      <x:c r="H4" s="35" t="n">
        <x:v>108000</x:v>
      </x:c>
      <x:c r="I4" s="35" t="n">
        <x:v>5580000</x:v>
      </x:c>
    </x:row>
    <x:row r="5" ht="15" hidden="0" customHeight="1">
      <x:c r="A5" s="38" t="str">
        <x:v>2025-08-01</x:v>
      </x:c>
      <x:c r="B5" s="36" t="n">
        <x:v>712</x:v>
      </x:c>
      <x:c r="C5" s="35" t="n">
        <x:v>654000</x:v>
      </x:c>
      <x:c r="D5" s="35" t="n">
        <x:v>7848000</x:v>
      </x:c>
      <x:c r="E5" s="37" t="n">
        <x:v>0.762</x:v>
      </x:c>
      <x:c r="F5" s="35" t="n">
        <x:v>720000</x:v>
      </x:c>
      <x:c r="G5" s="35" t="n">
        <x:v>181000</x:v>
      </x:c>
      <x:c r="H5" s="35" t="n">
        <x:v>112000</x:v>
      </x:c>
      <x:c r="I5" s="35" t="n">
        <x:v>5420000</x:v>
      </x:c>
    </x:row>
    <x:row r="6" ht="15" hidden="0" customHeight="1">
      <x:c r="A6" s="38" t="str">
        <x:v>2025-09-01</x:v>
      </x:c>
      <x:c r="B6" s="36" t="n">
        <x:v>736</x:v>
      </x:c>
      <x:c r="C6" s="35" t="n">
        <x:v>689000</x:v>
      </x:c>
      <x:c r="D6" s="35" t="n">
        <x:v>8268000</x:v>
      </x:c>
      <x:c r="E6" s="37" t="n">
        <x:v>0.764</x:v>
      </x:c>
      <x:c r="F6" s="35" t="n">
        <x:v>748000</x:v>
      </x:c>
      <x:c r="G6" s="35" t="n">
        <x:v>184000</x:v>
      </x:c>
      <x:c r="H6" s="35" t="n">
        <x:v>118000</x:v>
      </x:c>
      <x:c r="I6" s="35" t="n">
        <x:v>5235000</x:v>
      </x:c>
    </x:row>
    <x:row r="7" ht="15" hidden="0" customHeight="1">
      <x:c r="A7" s="38" t="str">
        <x:v>2025-10-01</x:v>
      </x:c>
      <x:c r="B7" s="36" t="n">
        <x:v>761</x:v>
      </x:c>
      <x:c r="C7" s="35" t="n">
        <x:v>724000</x:v>
      </x:c>
      <x:c r="D7" s="35" t="n">
        <x:v>8688000</x:v>
      </x:c>
      <x:c r="E7" s="37" t="n">
        <x:v>0.768</x:v>
      </x:c>
      <x:c r="F7" s="35" t="n">
        <x:v>765000</x:v>
      </x:c>
      <x:c r="G7" s="35" t="n">
        <x:v>190000</x:v>
      </x:c>
      <x:c r="H7" s="35" t="n">
        <x:v>121000</x:v>
      </x:c>
      <x:c r="I7" s="35" t="n">
        <x:v>5060000</x:v>
      </x:c>
    </x:row>
    <x:row r="8" ht="15" hidden="0" customHeight="1">
      <x:c r="A8" s="38" t="str">
        <x:v>2025-11-01</x:v>
      </x:c>
      <x:c r="B8" s="36" t="n">
        <x:v>789</x:v>
      </x:c>
      <x:c r="C8" s="35" t="n">
        <x:v>759000</x:v>
      </x:c>
      <x:c r="D8" s="35" t="n">
        <x:v>9108000</x:v>
      </x:c>
      <x:c r="E8" s="37" t="n">
        <x:v>0.771</x:v>
      </x:c>
      <x:c r="F8" s="35" t="n">
        <x:v>792000</x:v>
      </x:c>
      <x:c r="G8" s="35" t="n">
        <x:v>196000</x:v>
      </x:c>
      <x:c r="H8" s="35" t="n">
        <x:v>126000</x:v>
      </x:c>
      <x:c r="I8" s="35" t="n">
        <x:v>4850000</x:v>
      </x:c>
    </x:row>
    <x:row r="9" ht="15" hidden="0" customHeight="1">
      <x:c r="A9" s="38" t="str">
        <x:v>2025-12-01</x:v>
      </x:c>
      <x:c r="B9" s="36" t="n">
        <x:v>820</x:v>
      </x:c>
      <x:c r="C9" s="35" t="n">
        <x:v>771000</x:v>
      </x:c>
      <x:c r="D9" s="35" t="n">
        <x:v>9252000</x:v>
      </x:c>
      <x:c r="E9" s="37" t="n">
        <x:v>0.775</x:v>
      </x:c>
      <x:c r="F9" s="35" t="n">
        <x:v>812000</x:v>
      </x:c>
      <x:c r="G9" s="35" t="n">
        <x:v>201000</x:v>
      </x:c>
      <x:c r="H9" s="35" t="n">
        <x:v>132000</x:v>
      </x:c>
      <x:c r="I9" s="35" t="n">
        <x:v>4620000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30000114440918" hidden="0" customWidth="1"/>
    <x:col min="2" max="2" width="9.5" hidden="0" customWidth="1"/>
    <x:col min="3" max="3" width="4.380000114440918" hidden="0" customWidth="1"/>
    <x:col min="4" max="4" width="14.630000114440918" hidden="0" customWidth="1"/>
    <x:col min="5" max="5" width="4.13000011444091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15" hidden="0" customHeight="1">
      <x:c r="A1" s="24" t="str">
        <x:v>Hiring Plan</x:v>
      </x:c>
      <x:c r="B1" s="21"/>
      <x:c r="C1" s="21"/>
      <x:c r="D1" s="21"/>
      <x:c r="E1" s="21"/>
    </x:row>
    <x:row r="2" ht="15" hidden="0" customHeight="1">
      <x:c r="A2" s="21"/>
      <x:c r="B2" s="21"/>
      <x:c r="C2" s="21"/>
      <x:c r="D2" s="21"/>
      <x:c r="E2" s="21"/>
    </x:row>
    <x:row r="3" ht="15" hidden="0" customHeight="1">
      <x:c r="A3" s="25" t="str">
        <x:v>Month</x:v>
      </x:c>
      <x:c r="B3" s="25" t="str">
        <x:v>Engineering</x:v>
      </x:c>
      <x:c r="C3" s="25" t="str">
        <x:v>Sales</x:v>
      </x:c>
      <x:c r="D3" s="25" t="str">
        <x:v>Customer_Success</x:v>
      </x:c>
      <x:c r="E3" s="25" t="str">
        <x:v>G&amp;A</x:v>
      </x:c>
    </x:row>
    <x:row r="4" ht="15" hidden="0" customHeight="1">
      <x:c r="A4" s="38" t="str">
        <x:v>2026-01-01</x:v>
      </x:c>
      <x:c r="B4" s="36" t="n">
        <x:v>18</x:v>
      </x:c>
      <x:c r="C4" s="36" t="n">
        <x:v>10</x:v>
      </x:c>
      <x:c r="D4" s="36" t="n">
        <x:v>8</x:v>
      </x:c>
      <x:c r="E4" s="36" t="n">
        <x:v>6</x:v>
      </x:c>
    </x:row>
    <x:row r="5" ht="15" hidden="0" customHeight="1">
      <x:c r="A5" s="38" t="str">
        <x:v>2026-02-01</x:v>
      </x:c>
      <x:c r="B5" s="36" t="n">
        <x:v>19</x:v>
      </x:c>
      <x:c r="C5" s="36" t="n">
        <x:v>11</x:v>
      </x:c>
      <x:c r="D5" s="36" t="n">
        <x:v>8</x:v>
      </x:c>
      <x:c r="E5" s="36" t="n">
        <x:v>6</x:v>
      </x:c>
    </x:row>
    <x:row r="6" ht="15" hidden="0" customHeight="1">
      <x:c r="A6" s="38" t="str">
        <x:v>2026-03-01</x:v>
      </x:c>
      <x:c r="B6" s="36" t="n">
        <x:v>20</x:v>
      </x:c>
      <x:c r="C6" s="36" t="n">
        <x:v>12</x:v>
      </x:c>
      <x:c r="D6" s="36" t="n">
        <x:v>9</x:v>
      </x:c>
      <x:c r="E6" s="36" t="n">
        <x:v>6</x:v>
      </x:c>
    </x:row>
    <x:row r="7" ht="15" hidden="0" customHeight="1">
      <x:c r="A7" s="38" t="str">
        <x:v>2026-04-01</x:v>
      </x:c>
      <x:c r="B7" s="36" t="n">
        <x:v>21</x:v>
      </x:c>
      <x:c r="C7" s="36" t="n">
        <x:v>13</x:v>
      </x:c>
      <x:c r="D7" s="36" t="n">
        <x:v>9</x:v>
      </x:c>
      <x:c r="E7" s="36" t="n">
        <x:v>7</x:v>
      </x:c>
    </x:row>
    <x:row r="8" ht="15" hidden="0" customHeight="1">
      <x:c r="A8" s="38" t="str">
        <x:v>2026-05-01</x:v>
      </x:c>
      <x:c r="B8" s="36" t="n">
        <x:v>22</x:v>
      </x:c>
      <x:c r="C8" s="36" t="n">
        <x:v>14</x:v>
      </x:c>
      <x:c r="D8" s="36" t="n">
        <x:v>10</x:v>
      </x:c>
      <x:c r="E8" s="36" t="n">
        <x:v>7</x:v>
      </x:c>
    </x:row>
    <x:row r="9" ht="15" hidden="0" customHeight="1">
      <x:c r="A9" s="38" t="str">
        <x:v>2026-06-01</x:v>
      </x:c>
      <x:c r="B9" s="36" t="n">
        <x:v>23</x:v>
      </x:c>
      <x:c r="C9" s="36" t="n">
        <x:v>15</x:v>
      </x:c>
      <x:c r="D9" s="36" t="n">
        <x:v>10</x:v>
      </x:c>
      <x:c r="E9" s="36" t="n">
        <x:v>7</x:v>
      </x:c>
    </x:row>
    <x:row r="10" ht="15" hidden="0" customHeight="1">
      <x:c r="A10" s="38" t="str">
        <x:v>2026-07-01</x:v>
      </x:c>
      <x:c r="B10" s="36" t="n">
        <x:v>24</x:v>
      </x:c>
      <x:c r="C10" s="36" t="n">
        <x:v>16</x:v>
      </x:c>
      <x:c r="D10" s="36" t="n">
        <x:v>11</x:v>
      </x:c>
      <x:c r="E10" s="36" t="n">
        <x:v>8</x:v>
      </x:c>
    </x:row>
    <x:row r="11" ht="15" hidden="0" customHeight="1">
      <x:c r="A11" s="38" t="str">
        <x:v>2026-08-01</x:v>
      </x:c>
      <x:c r="B11" s="36" t="n">
        <x:v>25</x:v>
      </x:c>
      <x:c r="C11" s="36" t="n">
        <x:v>17</x:v>
      </x:c>
      <x:c r="D11" s="36" t="n">
        <x:v>11</x:v>
      </x:c>
      <x:c r="E11" s="36" t="n">
        <x:v>8</x:v>
      </x:c>
    </x:row>
    <x:row r="12" ht="15" hidden="0" customHeight="1">
      <x:c r="A12" s="38" t="str">
        <x:v>2026-09-01</x:v>
      </x:c>
      <x:c r="B12" s="36" t="n">
        <x:v>26</x:v>
      </x:c>
      <x:c r="C12" s="36" t="n">
        <x:v>18</x:v>
      </x:c>
      <x:c r="D12" s="36" t="n">
        <x:v>12</x:v>
      </x:c>
      <x:c r="E12" s="36" t="n">
        <x:v>8</x:v>
      </x:c>
    </x:row>
    <x:row r="13" ht="15" hidden="0" customHeight="1">
      <x:c r="A13" s="38" t="str">
        <x:v>2026-10-01</x:v>
      </x:c>
      <x:c r="B13" s="36" t="n">
        <x:v>27</x:v>
      </x:c>
      <x:c r="C13" s="36" t="n">
        <x:v>19</x:v>
      </x:c>
      <x:c r="D13" s="36" t="n">
        <x:v>12</x:v>
      </x:c>
      <x:c r="E13" s="36" t="n">
        <x:v>9</x:v>
      </x:c>
    </x:row>
    <x:row r="14" ht="15" hidden="0" customHeight="1">
      <x:c r="A14" s="38" t="str">
        <x:v>2026-11-01</x:v>
      </x:c>
      <x:c r="B14" s="36" t="n">
        <x:v>28</x:v>
      </x:c>
      <x:c r="C14" s="36" t="n">
        <x:v>20</x:v>
      </x:c>
      <x:c r="D14" s="36" t="n">
        <x:v>13</x:v>
      </x:c>
      <x:c r="E14" s="36" t="n">
        <x:v>9</x:v>
      </x:c>
    </x:row>
    <x:row r="15" ht="15" hidden="0" customHeight="1">
      <x:c r="A15" s="38" t="str">
        <x:v>2026-12-01</x:v>
      </x:c>
      <x:c r="B15" s="36" t="n">
        <x:v>29</x:v>
      </x:c>
      <x:c r="C15" s="36" t="n">
        <x:v>21</x:v>
      </x:c>
      <x:c r="D15" s="36" t="n">
        <x:v>13</x:v>
      </x:c>
      <x:c r="E15" s="36" t="n">
        <x:v>9</x:v>
      </x:c>
    </x:row>
    <x:row r="16" ht="15" hidden="0" customHeight="1">
      <x:c r="A16" s="38" t="str">
        <x:v>2027-01-01</x:v>
      </x:c>
      <x:c r="B16" s="36" t="n">
        <x:v>30</x:v>
      </x:c>
      <x:c r="C16" s="36" t="n">
        <x:v>22</x:v>
      </x:c>
      <x:c r="D16" s="36" t="n">
        <x:v>14</x:v>
      </x:c>
      <x:c r="E16" s="36" t="n">
        <x:v>10</x:v>
      </x:c>
    </x:row>
    <x:row r="17" ht="15" hidden="0" customHeight="1">
      <x:c r="A17" s="38" t="str">
        <x:v>2027-02-01</x:v>
      </x:c>
      <x:c r="B17" s="36" t="n">
        <x:v>31</x:v>
      </x:c>
      <x:c r="C17" s="36" t="n">
        <x:v>23</x:v>
      </x:c>
      <x:c r="D17" s="36" t="n">
        <x:v>14</x:v>
      </x:c>
      <x:c r="E17" s="36" t="n">
        <x:v>10</x:v>
      </x:c>
    </x:row>
    <x:row r="18" ht="15" hidden="0" customHeight="1">
      <x:c r="A18" s="38" t="str">
        <x:v>2027-03-01</x:v>
      </x:c>
      <x:c r="B18" s="36" t="n">
        <x:v>32</x:v>
      </x:c>
      <x:c r="C18" s="36" t="n">
        <x:v>24</x:v>
      </x:c>
      <x:c r="D18" s="36" t="n">
        <x:v>15</x:v>
      </x:c>
      <x:c r="E18" s="36" t="n">
        <x:v>10</x:v>
      </x:c>
    </x:row>
    <x:row r="19" ht="15" hidden="0" customHeight="1">
      <x:c r="A19" s="38" t="str">
        <x:v>2027-04-01</x:v>
      </x:c>
      <x:c r="B19" s="36" t="n">
        <x:v>33</x:v>
      </x:c>
      <x:c r="C19" s="36" t="n">
        <x:v>25</x:v>
      </x:c>
      <x:c r="D19" s="36" t="n">
        <x:v>15</x:v>
      </x:c>
      <x:c r="E19" s="36" t="n">
        <x:v>11</x:v>
      </x:c>
    </x:row>
    <x:row r="20" ht="15" hidden="0" customHeight="1">
      <x:c r="A20" s="38" t="str">
        <x:v>2027-05-01</x:v>
      </x:c>
      <x:c r="B20" s="36" t="n">
        <x:v>34</x:v>
      </x:c>
      <x:c r="C20" s="36" t="n">
        <x:v>26</x:v>
      </x:c>
      <x:c r="D20" s="36" t="n">
        <x:v>16</x:v>
      </x:c>
      <x:c r="E20" s="36" t="n">
        <x:v>11</x:v>
      </x:c>
    </x:row>
    <x:row r="21" ht="15" hidden="0" customHeight="1">
      <x:c r="A21" s="38" t="str">
        <x:v>2027-06-01</x:v>
      </x:c>
      <x:c r="B21" s="36" t="n">
        <x:v>35</x:v>
      </x:c>
      <x:c r="C21" s="36" t="n">
        <x:v>27</x:v>
      </x:c>
      <x:c r="D21" s="36" t="n">
        <x:v>16</x:v>
      </x:c>
      <x:c r="E21" s="36" t="n">
        <x:v>11</x:v>
      </x:c>
    </x:row>
    <x:row r="22" ht="15" hidden="0" customHeight="1">
      <x:c r="A22" s="38" t="str">
        <x:v>2027-07-01</x:v>
      </x:c>
      <x:c r="B22" s="36" t="n">
        <x:v>36</x:v>
      </x:c>
      <x:c r="C22" s="36" t="n">
        <x:v>28</x:v>
      </x:c>
      <x:c r="D22" s="36" t="n">
        <x:v>17</x:v>
      </x:c>
      <x:c r="E22" s="36" t="n">
        <x:v>12</x:v>
      </x:c>
    </x:row>
    <x:row r="23" ht="15" hidden="0" customHeight="1">
      <x:c r="A23" s="38" t="str">
        <x:v>2027-08-01</x:v>
      </x:c>
      <x:c r="B23" s="36" t="n">
        <x:v>37</x:v>
      </x:c>
      <x:c r="C23" s="36" t="n">
        <x:v>29</x:v>
      </x:c>
      <x:c r="D23" s="36" t="n">
        <x:v>17</x:v>
      </x:c>
      <x:c r="E23" s="36" t="n">
        <x:v>12</x:v>
      </x:c>
    </x:row>
    <x:row r="24" ht="15" hidden="0" customHeight="1">
      <x:c r="A24" s="38" t="str">
        <x:v>2027-09-01</x:v>
      </x:c>
      <x:c r="B24" s="36" t="n">
        <x:v>38</x:v>
      </x:c>
      <x:c r="C24" s="36" t="n">
        <x:v>30</x:v>
      </x:c>
      <x:c r="D24" s="36" t="n">
        <x:v>18</x:v>
      </x:c>
      <x:c r="E24" s="36" t="n">
        <x:v>12</x:v>
      </x:c>
    </x:row>
    <x:row r="25" ht="15" hidden="0" customHeight="1">
      <x:c r="A25" s="38" t="str">
        <x:v>2027-10-01</x:v>
      </x:c>
      <x:c r="B25" s="36" t="n">
        <x:v>39</x:v>
      </x:c>
      <x:c r="C25" s="36" t="n">
        <x:v>31</x:v>
      </x:c>
      <x:c r="D25" s="36" t="n">
        <x:v>18</x:v>
      </x:c>
      <x:c r="E25" s="36" t="n">
        <x:v>13</x:v>
      </x:c>
    </x:row>
    <x:row r="26" ht="15" hidden="0" customHeight="1">
      <x:c r="A26" s="38" t="str">
        <x:v>2027-11-01</x:v>
      </x:c>
      <x:c r="B26" s="36" t="n">
        <x:v>40</x:v>
      </x:c>
      <x:c r="C26" s="36" t="n">
        <x:v>32</x:v>
      </x:c>
      <x:c r="D26" s="36" t="n">
        <x:v>19</x:v>
      </x:c>
      <x:c r="E26" s="36" t="n">
        <x:v>13</x:v>
      </x:c>
    </x:row>
    <x:row r="27" ht="15" hidden="0" customHeight="1">
      <x:c r="A27" s="38" t="str">
        <x:v>2027-12-01</x:v>
      </x:c>
      <x:c r="B27" s="36" t="n">
        <x:v>41</x:v>
      </x:c>
      <x:c r="C27" s="36" t="n">
        <x:v>33</x:v>
      </x:c>
      <x:c r="D27" s="36" t="n">
        <x:v>19</x:v>
      </x:c>
      <x:c r="E27" s="36" t="n">
        <x:v>13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15" hidden="0" customHeight="1">
      <x:c r="A1" s="20" t="str">
        <x:v>Scenario Controls</x:v>
      </x:c>
      <x:c r="B1" s="20" t="str">
        <x:v>Scenario Controls</x:v>
      </x:c>
      <x:c r="C1" s="20" t="str">
        <x:v>Scenario Controls</x:v>
      </x:c>
      <x:c r="D1" s="20" t="str">
        <x:v>Scenario Controls</x:v>
      </x:c>
    </x:row>
    <x:row r="2" ht="15" hidden="0" customHeight="1">
      <x:c r="A2" s="21"/>
      <x:c r="B2" s="21"/>
      <x:c r="C2" s="21"/>
      <x:c r="D2" s="21"/>
    </x:row>
    <x:row r="3" ht="15" hidden="0" customHeight="1">
      <x:c r="A3" s="26" t="str">
        <x:v>Selected Scenario</x:v>
      </x:c>
      <x:c r="B3" s="26" t="str">
        <x:v>Base</x:v>
      </x:c>
      <x:c r="C3" s="21"/>
      <x:c r="D3" s="21"/>
    </x:row>
    <x:row r="4" ht="15" hidden="0" customHeight="1">
      <x:c r="A4" s="21"/>
      <x:c r="B4" s="21"/>
      <x:c r="C4" s="21"/>
      <x:c r="D4" s="21"/>
    </x:row>
    <x:row r="5" ht="15" hidden="0" customHeight="1">
      <x:c r="A5" s="27" t="str">
        <x:v>Starting Cash</x:v>
      </x:c>
      <x:c r="B5" s="39" t="n">
        <x:f>INDEX('Assumptions'!$B$4:$B$6,MATCH($B$3,'Assumptions'!$A$4:$A$6,0))</x:f>
        <x:v>20000000</x:v>
      </x:c>
      <x:c r="C5" s="21"/>
      <x:c r="D5" s="21"/>
    </x:row>
    <x:row r="6" ht="15" hidden="0" customHeight="1">
      <x:c r="A6" s="29" t="str">
        <x:v>Starting Customers</x:v>
      </x:c>
      <x:c r="B6" s="40" t="n">
        <x:f>INDEX('Assumptions'!$C$4:$C$6,MATCH($B$3,'Assumptions'!$A$4:$A$6,0))</x:f>
        <x:v>820</x:v>
      </x:c>
      <x:c r="C6" s="21"/>
      <x:c r="D6" s="21"/>
    </x:row>
    <x:row r="7" ht="15" hidden="0" customHeight="1">
      <x:c r="A7" s="29" t="str">
        <x:v>Starting ARPA</x:v>
      </x:c>
      <x:c r="B7" s="40" t="n">
        <x:f>INDEX('Assumptions'!$D$4:$D$6,MATCH($B$3,'Assumptions'!$A$4:$A$6,0))</x:f>
        <x:v>940</x:v>
      </x:c>
      <x:c r="C7" s="21"/>
      <x:c r="D7" s="21"/>
    </x:row>
    <x:row r="8" ht="15" hidden="0" customHeight="1">
      <x:c r="A8" s="29" t="str">
        <x:v>Monthly New Customers</x:v>
      </x:c>
      <x:c r="B8" s="41" t="n">
        <x:f>INDEX('Assumptions'!$E$4:$E$6,MATCH($B$3,'Assumptions'!$A$4:$A$6,0))</x:f>
        <x:v>42</x:v>
      </x:c>
      <x:c r="C8" s="21"/>
      <x:c r="D8" s="21"/>
    </x:row>
    <x:row r="9" ht="15" hidden="0" customHeight="1">
      <x:c r="A9" s="29" t="str">
        <x:v>Monthly Churn</x:v>
      </x:c>
      <x:c r="B9" s="42" t="n">
        <x:f>INDEX('Assumptions'!$F$4:$F$6,MATCH($B$3,'Assumptions'!$A$4:$A$6,0))</x:f>
        <x:v>0.028</x:v>
      </x:c>
      <x:c r="C9" s="21"/>
      <x:c r="D9" s="21"/>
    </x:row>
    <x:row r="10" ht="15" hidden="0" customHeight="1">
      <x:c r="A10" s="29" t="str">
        <x:v>Monthly Expansion</x:v>
      </x:c>
      <x:c r="B10" s="42" t="n">
        <x:f>INDEX('Assumptions'!$G$4:$G$6,MATCH($B$3,'Assumptions'!$A$4:$A$6,0))</x:f>
        <x:v>0.012</x:v>
      </x:c>
      <x:c r="C10" s="21"/>
      <x:c r="D10" s="21"/>
    </x:row>
    <x:row r="11" ht="15" hidden="0" customHeight="1">
      <x:c r="A11" s="29" t="str">
        <x:v>ARPA Growth</x:v>
      </x:c>
      <x:c r="B11" s="42" t="n">
        <x:f>INDEX('Assumptions'!$H$4:$H$6,MATCH($B$3,'Assumptions'!$A$4:$A$6,0))</x:f>
        <x:v>0.006</x:v>
      </x:c>
      <x:c r="C11" s="21"/>
      <x:c r="D11" s="21"/>
    </x:row>
    <x:row r="12" ht="15" hidden="0" customHeight="1">
      <x:c r="A12" s="29" t="str">
        <x:v>Gross Margin</x:v>
      </x:c>
      <x:c r="B12" s="42" t="n">
        <x:f>INDEX('Assumptions'!$I$4:$I$6,MATCH($B$3,'Assumptions'!$A$4:$A$6,0))</x:f>
        <x:v>0.78</x:v>
      </x:c>
      <x:c r="C12" s="21"/>
      <x:c r="D12" s="21"/>
    </x:row>
    <x:row r="13" ht="15" hidden="0" customHeight="1">
      <x:c r="A13" s="29" t="str">
        <x:v>CAC Per Customer</x:v>
      </x:c>
      <x:c r="B13" s="40" t="n">
        <x:f>INDEX('Assumptions'!$J$4:$J$6,MATCH($B$3,'Assumptions'!$A$4:$A$6,0))</x:f>
        <x:v>1850</x:v>
      </x:c>
      <x:c r="C13" s="21"/>
      <x:c r="D13" s="21"/>
    </x:row>
    <x:row r="14" ht="15" hidden="0" customHeight="1">
      <x:c r="A14" s="29" t="str">
        <x:v>Base Payroll Per FTE</x:v>
      </x:c>
      <x:c r="B14" s="40" t="n">
        <x:f>INDEX('Assumptions'!$K$4:$K$6,MATCH($B$3,'Assumptions'!$A$4:$A$6,0))</x:f>
        <x:v>14500</x:v>
      </x:c>
      <x:c r="C14" s="21"/>
      <x:c r="D14" s="21"/>
    </x:row>
    <x:row r="15" ht="15" hidden="0" customHeight="1">
      <x:c r="A15" s="29" t="str">
        <x:v>NonPayroll Opex</x:v>
      </x:c>
      <x:c r="B15" s="40" t="n">
        <x:f>INDEX('Assumptions'!$L$4:$L$6,MATCH($B$3,'Assumptions'!$A$4:$A$6,0))</x:f>
        <x:v>215000</x:v>
      </x:c>
      <x:c r="C15" s="21"/>
      <x:c r="D15" s="21"/>
    </x:row>
    <x:row r="16" ht="15" hidden="0" customHeight="1">
      <x:c r="A16" s="29" t="str">
        <x:v>Sales &amp; Marketing Budget</x:v>
      </x:c>
      <x:c r="B16" s="40" t="n">
        <x:f>INDEX('Assumptions'!$M$4:$M$6,MATCH($B$3,'Assumptions'!$A$4:$A$6,0))</x:f>
        <x:v>140000</x:v>
      </x:c>
      <x:c r="C16" s="21"/>
      <x:c r="D16" s="21"/>
    </x:row>
  </x:sheetData>
  <x:mergeCells>
    <x:mergeCell ref="A1:D1"/>
  </x:mergeCells>
  <x:dataValidations count="1">
    <x:dataValidation type="list" sqref="B3">
      <x:formula1>Assumptions!$A$4:$A$6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15" hidden="0" customHeight="1">
      <x:c r="A1" s="20" t="str">
        <x:v>Revenue Forecast</x:v>
      </x:c>
      <x:c r="B1" s="20" t="str">
        <x:v>Revenue Forecast</x:v>
      </x:c>
      <x:c r="C1" s="20" t="str">
        <x:v>Revenue Forecast</x:v>
      </x:c>
      <x:c r="D1" s="20" t="str">
        <x:v>Revenue Forecast</x:v>
      </x:c>
      <x:c r="E1" s="20" t="str">
        <x:v>Revenue Forecast</x:v>
      </x:c>
      <x:c r="F1" s="20" t="str">
        <x:v>Revenue Forecast</x:v>
      </x:c>
      <x:c r="G1" s="20" t="str">
        <x:v>Revenue Forecast</x:v>
      </x:c>
      <x:c r="H1" s="20" t="str">
        <x:v>Revenue Forecast</x:v>
      </x:c>
      <x:c r="I1" s="20" t="str">
        <x:v>Revenue Forecast</x:v>
      </x:c>
      <x:c r="J1" s="20" t="str">
        <x:v>Revenue Forecast</x:v>
      </x:c>
      <x:c r="K1" s="20" t="str">
        <x:v>Revenue Forecast</x:v>
      </x:c>
      <x:c r="L1" s="20" t="str">
        <x:v>Revenue Forecast</x:v>
      </x:c>
      <x:c r="M1" s="20" t="str">
        <x:v>Revenue Forecast</x:v>
      </x:c>
      <x:c r="N1" s="20" t="str">
        <x:v>Revenue Forecast</x:v>
      </x:c>
      <x:c r="O1" s="20" t="str">
        <x:v>Revenue Forecast</x:v>
      </x:c>
      <x:c r="P1" s="20" t="str">
        <x:v>Revenue Forecast</x:v>
      </x:c>
      <x:c r="Q1" s="20" t="str">
        <x:v>Revenue Forecast</x:v>
      </x:c>
      <x:c r="R1" s="20" t="str">
        <x:v>Revenue Forecast</x:v>
      </x:c>
      <x:c r="S1" s="20" t="str">
        <x:v>Revenue Forecast</x:v>
      </x:c>
      <x:c r="T1" s="20" t="str">
        <x:v>Revenue Forecast</x:v>
      </x:c>
      <x:c r="U1" s="20" t="str">
        <x:v>Revenue Forecast</x:v>
      </x:c>
      <x:c r="V1" s="20" t="str">
        <x:v>Revenue Forecast</x:v>
      </x:c>
      <x:c r="W1" s="20" t="str">
        <x:v>Revenue Forecast</x:v>
      </x:c>
      <x:c r="X1" s="20" t="str">
        <x:v>Revenue Forecast</x:v>
      </x:c>
      <x:c r="Y1" s="20" t="str">
        <x:v>Revenue Forecast</x:v>
      </x:c>
    </x:row>
    <x:row r="2" ht="15" hidden="0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</x:row>
    <x:row r="3" ht="15" hidden="0" customHeight="1">
      <x:c r="A3" s="27" t="str">
        <x:v>Month</x:v>
      </x:c>
      <x:c r="B3" s="46" t="n">
        <x:v>46023</x:v>
      </x:c>
      <x:c r="C3" s="46" t="n">
        <x:v>46054</x:v>
      </x:c>
      <x:c r="D3" s="46" t="n">
        <x:v>46082</x:v>
      </x:c>
      <x:c r="E3" s="46" t="n">
        <x:v>46113</x:v>
      </x:c>
      <x:c r="F3" s="46" t="n">
        <x:v>46143</x:v>
      </x:c>
      <x:c r="G3" s="46" t="n">
        <x:v>46174</x:v>
      </x:c>
      <x:c r="H3" s="46" t="n">
        <x:v>46204</x:v>
      </x:c>
      <x:c r="I3" s="46" t="n">
        <x:v>46235</x:v>
      </x:c>
      <x:c r="J3" s="46" t="n">
        <x:v>46266</x:v>
      </x:c>
      <x:c r="K3" s="46" t="n">
        <x:v>46296</x:v>
      </x:c>
      <x:c r="L3" s="46" t="n">
        <x:v>46327</x:v>
      </x:c>
      <x:c r="M3" s="46" t="n">
        <x:v>46357</x:v>
      </x:c>
      <x:c r="N3" s="46" t="n">
        <x:v>46388</x:v>
      </x:c>
      <x:c r="O3" s="46" t="n">
        <x:v>46419</x:v>
      </x:c>
      <x:c r="P3" s="46" t="n">
        <x:v>46447</x:v>
      </x:c>
      <x:c r="Q3" s="46" t="n">
        <x:v>46478</x:v>
      </x:c>
      <x:c r="R3" s="46" t="n">
        <x:v>46508</x:v>
      </x:c>
      <x:c r="S3" s="46" t="n">
        <x:v>46539</x:v>
      </x:c>
      <x:c r="T3" s="46" t="n">
        <x:v>46569</x:v>
      </x:c>
      <x:c r="U3" s="46" t="n">
        <x:v>46600</x:v>
      </x:c>
      <x:c r="V3" s="46" t="n">
        <x:v>46631</x:v>
      </x:c>
      <x:c r="W3" s="46" t="n">
        <x:v>46661</x:v>
      </x:c>
      <x:c r="X3" s="46" t="n">
        <x:v>46692</x:v>
      </x:c>
      <x:c r="Y3" s="47" t="n">
        <x:v>46722</x:v>
      </x:c>
    </x:row>
    <x:row r="4" ht="15" hidden="0" customHeight="1">
      <x:c r="A4" s="34" t="str">
        <x:v>Beginning Customers</x:v>
      </x:c>
      <x:c r="B4" s="36" t="n">
        <x:f>'Scenario Controls'!$B$6</x:f>
        <x:v>820</x:v>
      </x:c>
      <x:c r="C4" s="36" t="n">
        <x:f>'Revenue Forecast'!B7</x:f>
        <x:v>839.04</x:v>
      </x:c>
      <x:c r="D4" s="36" t="n">
        <x:f>'Revenue Forecast'!C7</x:f>
        <x:v>857.54688</x:v>
      </x:c>
      <x:c r="E4" s="36" t="n">
        <x:f>'Revenue Forecast'!D7</x:f>
        <x:v>875.53556736</x:v>
      </x:c>
      <x:c r="F4" s="36" t="n">
        <x:f>'Revenue Forecast'!E7</x:f>
        <x:v>893.02057147392</x:v>
      </x:c>
      <x:c r="G4" s="36" t="n">
        <x:f>'Revenue Forecast'!F7</x:f>
        <x:v>910.0159954726502</x:v>
      </x:c>
      <x:c r="H4" s="36" t="n">
        <x:f>'Revenue Forecast'!G7</x:f>
        <x:v>926.535547599416</x:v>
      </x:c>
      <x:c r="I4" s="36" t="n">
        <x:f>'Revenue Forecast'!H7</x:f>
        <x:v>942.5925522666323</x:v>
      </x:c>
      <x:c r="J4" s="36" t="n">
        <x:f>'Revenue Forecast'!I7</x:f>
        <x:v>958.1999608031666</x:v>
      </x:c>
      <x:c r="K4" s="36" t="n">
        <x:f>'Revenue Forecast'!J7</x:f>
        <x:v>973.370361900678</x:v>
      </x:c>
      <x:c r="L4" s="36" t="n">
        <x:f>'Revenue Forecast'!K7</x:f>
        <x:v>988.1159917674589</x:v>
      </x:c>
      <x:c r="M4" s="36" t="n">
        <x:f>'Revenue Forecast'!L7</x:f>
        <x:v>1002.4487439979702</x:v>
      </x:c>
      <x:c r="N4" s="36" t="n">
        <x:f>'Revenue Forecast'!M7</x:f>
        <x:v>1016.3801791660271</x:v>
      </x:c>
      <x:c r="O4" s="36" t="n">
        <x:f>'Revenue Forecast'!N7</x:f>
        <x:v>1029.9215341493784</x:v>
      </x:c>
      <x:c r="P4" s="36" t="n">
        <x:f>'Revenue Forecast'!O7</x:f>
        <x:v>1043.083731193196</x:v>
      </x:c>
      <x:c r="Q4" s="36" t="n">
        <x:f>'Revenue Forecast'!P7</x:f>
        <x:v>1055.8773867197865</x:v>
      </x:c>
      <x:c r="R4" s="36" t="n">
        <x:f>'Revenue Forecast'!Q7</x:f>
        <x:v>1068.3128198916324</x:v>
      </x:c>
      <x:c r="S4" s="36" t="n">
        <x:f>'Revenue Forecast'!R7</x:f>
        <x:v>1080.4000609346667</x:v>
      </x:c>
      <x:c r="T4" s="36" t="n">
        <x:f>'Revenue Forecast'!S7</x:f>
        <x:v>1092.1488592284961</x:v>
      </x:c>
      <x:c r="U4" s="36" t="n">
        <x:f>'Revenue Forecast'!T7</x:f>
        <x:v>1103.5686911700982</x:v>
      </x:c>
      <x:c r="V4" s="36" t="n">
        <x:f>'Revenue Forecast'!U7</x:f>
        <x:v>1114.6687678173355</x:v>
      </x:c>
      <x:c r="W4" s="36" t="n">
        <x:f>'Revenue Forecast'!V7</x:f>
        <x:v>1125.45804231845</x:v>
      </x:c>
      <x:c r="X4" s="36" t="n">
        <x:f>'Revenue Forecast'!W7</x:f>
        <x:v>1135.9452171335333</x:v>
      </x:c>
      <x:c r="Y4" s="36" t="n">
        <x:f>'Revenue Forecast'!X7</x:f>
        <x:v>1146.1387510537943</x:v>
      </x:c>
    </x:row>
    <x:row r="5" ht="15" hidden="0" customHeight="1">
      <x:c r="A5" s="34" t="str">
        <x:v>New Customers</x:v>
      </x:c>
      <x:c r="B5" s="36" t="n">
        <x:f>'Scenario Controls'!$B$8</x:f>
        <x:v>42</x:v>
      </x:c>
      <x:c r="C5" s="36" t="n">
        <x:f>'Scenario Controls'!$B$8</x:f>
        <x:v>42</x:v>
      </x:c>
      <x:c r="D5" s="36" t="n">
        <x:f>'Scenario Controls'!$B$8</x:f>
        <x:v>42</x:v>
      </x:c>
      <x:c r="E5" s="36" t="n">
        <x:f>'Scenario Controls'!$B$8</x:f>
        <x:v>42</x:v>
      </x:c>
      <x:c r="F5" s="36" t="n">
        <x:f>'Scenario Controls'!$B$8</x:f>
        <x:v>42</x:v>
      </x:c>
      <x:c r="G5" s="36" t="n">
        <x:f>'Scenario Controls'!$B$8</x:f>
        <x:v>42</x:v>
      </x:c>
      <x:c r="H5" s="36" t="n">
        <x:f>'Scenario Controls'!$B$8</x:f>
        <x:v>42</x:v>
      </x:c>
      <x:c r="I5" s="36" t="n">
        <x:f>'Scenario Controls'!$B$8</x:f>
        <x:v>42</x:v>
      </x:c>
      <x:c r="J5" s="36" t="n">
        <x:f>'Scenario Controls'!$B$8</x:f>
        <x:v>42</x:v>
      </x:c>
      <x:c r="K5" s="36" t="n">
        <x:f>'Scenario Controls'!$B$8</x:f>
        <x:v>42</x:v>
      </x:c>
      <x:c r="L5" s="36" t="n">
        <x:f>'Scenario Controls'!$B$8</x:f>
        <x:v>42</x:v>
      </x:c>
      <x:c r="M5" s="36" t="n">
        <x:f>'Scenario Controls'!$B$8</x:f>
        <x:v>42</x:v>
      </x:c>
      <x:c r="N5" s="36" t="n">
        <x:f>'Scenario Controls'!$B$8</x:f>
        <x:v>42</x:v>
      </x:c>
      <x:c r="O5" s="36" t="n">
        <x:f>'Scenario Controls'!$B$8</x:f>
        <x:v>42</x:v>
      </x:c>
      <x:c r="P5" s="36" t="n">
        <x:f>'Scenario Controls'!$B$8</x:f>
        <x:v>42</x:v>
      </x:c>
      <x:c r="Q5" s="36" t="n">
        <x:f>'Scenario Controls'!$B$8</x:f>
        <x:v>42</x:v>
      </x:c>
      <x:c r="R5" s="36" t="n">
        <x:f>'Scenario Controls'!$B$8</x:f>
        <x:v>42</x:v>
      </x:c>
      <x:c r="S5" s="36" t="n">
        <x:f>'Scenario Controls'!$B$8</x:f>
        <x:v>42</x:v>
      </x:c>
      <x:c r="T5" s="36" t="n">
        <x:f>'Scenario Controls'!$B$8</x:f>
        <x:v>42</x:v>
      </x:c>
      <x:c r="U5" s="36" t="n">
        <x:f>'Scenario Controls'!$B$8</x:f>
        <x:v>42</x:v>
      </x:c>
      <x:c r="V5" s="36" t="n">
        <x:f>'Scenario Controls'!$B$8</x:f>
        <x:v>42</x:v>
      </x:c>
      <x:c r="W5" s="36" t="n">
        <x:f>'Scenario Controls'!$B$8</x:f>
        <x:v>42</x:v>
      </x:c>
      <x:c r="X5" s="36" t="n">
        <x:f>'Scenario Controls'!$B$8</x:f>
        <x:v>42</x:v>
      </x:c>
      <x:c r="Y5" s="36" t="n">
        <x:f>'Scenario Controls'!$B$8</x:f>
        <x:v>42</x:v>
      </x:c>
    </x:row>
    <x:row r="6" ht="15" hidden="0" customHeight="1">
      <x:c r="A6" s="34" t="str">
        <x:v>Churned Customers</x:v>
      </x:c>
      <x:c r="B6" s="36" t="n">
        <x:f>B4*'Scenario Controls'!$B$9</x:f>
        <x:v>22.96</x:v>
      </x:c>
      <x:c r="C6" s="36" t="n">
        <x:f>C4*'Scenario Controls'!$B$9</x:f>
        <x:v>23.49312</x:v>
      </x:c>
      <x:c r="D6" s="36" t="n">
        <x:f>D4*'Scenario Controls'!$B$9</x:f>
        <x:v>24.01131264</x:v>
      </x:c>
      <x:c r="E6" s="36" t="n">
        <x:f>E4*'Scenario Controls'!$B$9</x:f>
        <x:v>24.514995886079998</x:v>
      </x:c>
      <x:c r="F6" s="36" t="n">
        <x:f>F4*'Scenario Controls'!$B$9</x:f>
        <x:v>25.00457600126976</x:v>
      </x:c>
      <x:c r="G6" s="36" t="n">
        <x:f>G4*'Scenario Controls'!$B$9</x:f>
        <x:v>25.480447873234205</x:v>
      </x:c>
      <x:c r="H6" s="36" t="n">
        <x:f>H4*'Scenario Controls'!$B$9</x:f>
        <x:v>25.942995332783646</x:v>
      </x:c>
      <x:c r="I6" s="36" t="n">
        <x:f>I4*'Scenario Controls'!$B$9</x:f>
        <x:v>26.392591463465706</x:v>
      </x:c>
      <x:c r="J6" s="36" t="n">
        <x:f>J4*'Scenario Controls'!$B$9</x:f>
        <x:v>26.829598902488666</x:v>
      </x:c>
      <x:c r="K6" s="36" t="n">
        <x:f>K4*'Scenario Controls'!$B$9</x:f>
        <x:v>27.254370133218984</x:v>
      </x:c>
      <x:c r="L6" s="36" t="n">
        <x:f>L4*'Scenario Controls'!$B$9</x:f>
        <x:v>27.66724776948885</x:v>
      </x:c>
      <x:c r="M6" s="36" t="n">
        <x:f>M4*'Scenario Controls'!$B$9</x:f>
        <x:v>28.068564831943164</x:v>
      </x:c>
      <x:c r="N6" s="36" t="n">
        <x:f>N4*'Scenario Controls'!$B$9</x:f>
        <x:v>28.45864501664876</x:v>
      </x:c>
      <x:c r="O6" s="36" t="n">
        <x:f>O4*'Scenario Controls'!$B$9</x:f>
        <x:v>28.837802956182596</x:v>
      </x:c>
      <x:c r="P6" s="36" t="n">
        <x:f>P4*'Scenario Controls'!$B$9</x:f>
        <x:v>29.206344473409487</x:v>
      </x:c>
      <x:c r="Q6" s="36" t="n">
        <x:f>Q4*'Scenario Controls'!$B$9</x:f>
        <x:v>29.56456682815402</x:v>
      </x:c>
      <x:c r="R6" s="36" t="n">
        <x:f>R4*'Scenario Controls'!$B$9</x:f>
        <x:v>29.91275895696571</x:v>
      </x:c>
      <x:c r="S6" s="36" t="n">
        <x:f>S4*'Scenario Controls'!$B$9</x:f>
        <x:v>30.25120170617067</x:v>
      </x:c>
      <x:c r="T6" s="36" t="n">
        <x:f>T4*'Scenario Controls'!$B$9</x:f>
        <x:v>30.58016805839789</x:v>
      </x:c>
      <x:c r="U6" s="36" t="n">
        <x:f>U4*'Scenario Controls'!$B$9</x:f>
        <x:v>30.89992335276275</x:v>
      </x:c>
      <x:c r="V6" s="36" t="n">
        <x:f>V4*'Scenario Controls'!$B$9</x:f>
        <x:v>31.210725498885395</x:v>
      </x:c>
      <x:c r="W6" s="36" t="n">
        <x:f>W4*'Scenario Controls'!$B$9</x:f>
        <x:v>31.5128251849166</x:v>
      </x:c>
      <x:c r="X6" s="36" t="n">
        <x:f>X4*'Scenario Controls'!$B$9</x:f>
        <x:v>31.806466079738932</x:v>
      </x:c>
      <x:c r="Y6" s="36" t="n">
        <x:f>Y4*'Scenario Controls'!$B$9</x:f>
        <x:v>32.091885029506244</x:v>
      </x:c>
    </x:row>
    <x:row r="7" ht="15" hidden="0" customHeight="1">
      <x:c r="A7" s="34" t="str">
        <x:v>Ending Customers</x:v>
      </x:c>
      <x:c r="B7" s="36" t="n">
        <x:f>B4+B5-B6</x:f>
        <x:v>839.04</x:v>
      </x:c>
      <x:c r="C7" s="36" t="n">
        <x:f>C4+C5-C6</x:f>
        <x:v>857.54688</x:v>
      </x:c>
      <x:c r="D7" s="36" t="n">
        <x:f>D4+D5-D6</x:f>
        <x:v>875.53556736</x:v>
      </x:c>
      <x:c r="E7" s="36" t="n">
        <x:f>E4+E5-E6</x:f>
        <x:v>893.02057147392</x:v>
      </x:c>
      <x:c r="F7" s="36" t="n">
        <x:f>F4+F5-F6</x:f>
        <x:v>910.0159954726502</x:v>
      </x:c>
      <x:c r="G7" s="36" t="n">
        <x:f>G4+G5-G6</x:f>
        <x:v>926.535547599416</x:v>
      </x:c>
      <x:c r="H7" s="36" t="n">
        <x:f>H4+H5-H6</x:f>
        <x:v>942.5925522666323</x:v>
      </x:c>
      <x:c r="I7" s="36" t="n">
        <x:f>I4+I5-I6</x:f>
        <x:v>958.1999608031666</x:v>
      </x:c>
      <x:c r="J7" s="36" t="n">
        <x:f>J4+J5-J6</x:f>
        <x:v>973.370361900678</x:v>
      </x:c>
      <x:c r="K7" s="36" t="n">
        <x:f>K4+K5-K6</x:f>
        <x:v>988.1159917674589</x:v>
      </x:c>
      <x:c r="L7" s="36" t="n">
        <x:f>L4+L5-L6</x:f>
        <x:v>1002.4487439979702</x:v>
      </x:c>
      <x:c r="M7" s="36" t="n">
        <x:f>M4+M5-M6</x:f>
        <x:v>1016.3801791660271</x:v>
      </x:c>
      <x:c r="N7" s="36" t="n">
        <x:f>N4+N5-N6</x:f>
        <x:v>1029.9215341493784</x:v>
      </x:c>
      <x:c r="O7" s="36" t="n">
        <x:f>O4+O5-O6</x:f>
        <x:v>1043.083731193196</x:v>
      </x:c>
      <x:c r="P7" s="36" t="n">
        <x:f>P4+P5-P6</x:f>
        <x:v>1055.8773867197865</x:v>
      </x:c>
      <x:c r="Q7" s="36" t="n">
        <x:f>Q4+Q5-Q6</x:f>
        <x:v>1068.3128198916324</x:v>
      </x:c>
      <x:c r="R7" s="36" t="n">
        <x:f>R4+R5-R6</x:f>
        <x:v>1080.4000609346667</x:v>
      </x:c>
      <x:c r="S7" s="36" t="n">
        <x:f>S4+S5-S6</x:f>
        <x:v>1092.1488592284961</x:v>
      </x:c>
      <x:c r="T7" s="36" t="n">
        <x:f>T4+T5-T6</x:f>
        <x:v>1103.5686911700982</x:v>
      </x:c>
      <x:c r="U7" s="36" t="n">
        <x:f>U4+U5-U6</x:f>
        <x:v>1114.6687678173355</x:v>
      </x:c>
      <x:c r="V7" s="36" t="n">
        <x:f>V4+V5-V6</x:f>
        <x:v>1125.45804231845</x:v>
      </x:c>
      <x:c r="W7" s="36" t="n">
        <x:f>W4+W5-W6</x:f>
        <x:v>1135.9452171335333</x:v>
      </x:c>
      <x:c r="X7" s="36" t="n">
        <x:f>X4+X5-X6</x:f>
        <x:v>1146.1387510537943</x:v>
      </x:c>
      <x:c r="Y7" s="36" t="n">
        <x:f>Y4+Y5-Y6</x:f>
        <x:v>1156.046866024288</x:v>
      </x:c>
    </x:row>
    <x:row r="8" ht="15" hidden="0" customHeight="1">
      <x:c r="A8" s="34" t="str">
        <x:v>ARPA</x:v>
      </x:c>
      <x:c r="B8" s="35" t="n">
        <x:f>'Scenario Controls'!$B$7*(1+'Scenario Controls'!$B$11)</x:f>
        <x:v>945.64</x:v>
      </x:c>
      <x:c r="C8" s="35" t="n">
        <x:f>B8*(1+'Scenario Controls'!$B$11)</x:f>
        <x:v>951.31384</x:v>
      </x:c>
      <x:c r="D8" s="35" t="n">
        <x:f>C8*(1+'Scenario Controls'!$B$11)</x:f>
        <x:v>957.02172304</x:v>
      </x:c>
      <x:c r="E8" s="35" t="n">
        <x:f>D8*(1+'Scenario Controls'!$B$11)</x:f>
        <x:v>962.76385337824</x:v>
      </x:c>
      <x:c r="F8" s="35" t="n">
        <x:f>E8*(1+'Scenario Controls'!$B$11)</x:f>
        <x:v>968.5404364985095</x:v>
      </x:c>
      <x:c r="G8" s="35" t="n">
        <x:f>F8*(1+'Scenario Controls'!$B$11)</x:f>
        <x:v>974.3516791175006</x:v>
      </x:c>
      <x:c r="H8" s="35" t="n">
        <x:f>G8*(1+'Scenario Controls'!$B$11)</x:f>
        <x:v>980.1977891922056</x:v>
      </x:c>
      <x:c r="I8" s="35" t="n">
        <x:f>H8*(1+'Scenario Controls'!$B$11)</x:f>
        <x:v>986.0789759273589</x:v>
      </x:c>
      <x:c r="J8" s="35" t="n">
        <x:f>I8*(1+'Scenario Controls'!$B$11)</x:f>
        <x:v>991.9954497829231</x:v>
      </x:c>
      <x:c r="K8" s="35" t="n">
        <x:f>J8*(1+'Scenario Controls'!$B$11)</x:f>
        <x:v>997.9474224816206</x:v>
      </x:c>
      <x:c r="L8" s="35" t="n">
        <x:f>K8*(1+'Scenario Controls'!$B$11)</x:f>
        <x:v>1003.9351070165103</x:v>
      </x:c>
      <x:c r="M8" s="35" t="n">
        <x:f>L8*(1+'Scenario Controls'!$B$11)</x:f>
        <x:v>1009.9587176586093</x:v>
      </x:c>
      <x:c r="N8" s="35" t="n">
        <x:f>M8*(1+'Scenario Controls'!$B$11)</x:f>
        <x:v>1016.018469964561</x:v>
      </x:c>
      <x:c r="O8" s="35" t="n">
        <x:f>N8*(1+'Scenario Controls'!$B$11)</x:f>
        <x:v>1022.1145807843483</x:v>
      </x:c>
      <x:c r="P8" s="35" t="n">
        <x:f>O8*(1+'Scenario Controls'!$B$11)</x:f>
        <x:v>1028.2472682690543</x:v>
      </x:c>
      <x:c r="Q8" s="35" t="n">
        <x:f>P8*(1+'Scenario Controls'!$B$11)</x:f>
        <x:v>1034.4167518786687</x:v>
      </x:c>
      <x:c r="R8" s="35" t="n">
        <x:f>Q8*(1+'Scenario Controls'!$B$11)</x:f>
        <x:v>1040.6232523899407</x:v>
      </x:c>
      <x:c r="S8" s="35" t="n">
        <x:f>R8*(1+'Scenario Controls'!$B$11)</x:f>
        <x:v>1046.8669919042804</x:v>
      </x:c>
      <x:c r="T8" s="35" t="n">
        <x:f>S8*(1+'Scenario Controls'!$B$11)</x:f>
        <x:v>1053.148193855706</x:v>
      </x:c>
      <x:c r="U8" s="35" t="n">
        <x:f>T8*(1+'Scenario Controls'!$B$11)</x:f>
        <x:v>1059.4670830188402</x:v>
      </x:c>
      <x:c r="V8" s="35" t="n">
        <x:f>U8*(1+'Scenario Controls'!$B$11)</x:f>
        <x:v>1065.8238855169532</x:v>
      </x:c>
      <x:c r="W8" s="35" t="n">
        <x:f>V8*(1+'Scenario Controls'!$B$11)</x:f>
        <x:v>1072.218828830055</x:v>
      </x:c>
      <x:c r="X8" s="35" t="n">
        <x:f>W8*(1+'Scenario Controls'!$B$11)</x:f>
        <x:v>1078.6521418030352</x:v>
      </x:c>
      <x:c r="Y8" s="35" t="n">
        <x:f>X8*(1+'Scenario Controls'!$B$11)</x:f>
        <x:v>1085.1240546538534</x:v>
      </x:c>
    </x:row>
    <x:row r="9" ht="15" hidden="0" customHeight="1">
      <x:c r="A9" s="34" t="str">
        <x:v>MRR</x:v>
      </x:c>
      <x:c r="B9" s="35" t="n">
        <x:f>B7*B8</x:f>
        <x:v>793429.7856</x:v>
      </x:c>
      <x:c r="C9" s="35" t="n">
        <x:f>C7*C8</x:f>
        <x:v>815796.2153928193</x:v>
      </x:c>
      <x:c r="D9" s="35" t="n">
        <x:f>D7*D8</x:f>
        <x:v>837906.5572576711</x:v>
      </x:c>
      <x:c r="E9" s="35" t="n">
        <x:f>E7*E8</x:f>
        <x:v>859767.9265382692</x:v>
      </x:c>
      <x:c r="F9" s="35" t="n">
        <x:f>F7*F8</x:f>
        <x:v>881387.2894757063</x:v>
      </x:c>
      <x:c r="G9" s="35" t="n">
        <x:f>G7*G8</x:f>
        <x:v>902771.4665655438</x:v>
      </x:c>
      <x:c r="H9" s="35" t="n">
        <x:f>H7*H8</x:f>
        <x:v>923927.1358407915</x:v>
      </x:c>
      <x:c r="I9" s="35" t="n">
        <x:f>I7*I8</x:f>
        <x:v>944860.8360824219</x:v>
      </x:c>
      <x:c r="J9" s="35" t="n">
        <x:f>J7*J8</x:f>
        <x:v>965578.9699590296</x:v>
      </x:c>
      <x:c r="K9" s="35" t="n">
        <x:f>K7*K8</x:f>
        <x:v>986087.8070972059</x:v>
      </x:c>
      <x:c r="L9" s="35" t="n">
        <x:f>L7*L8</x:f>
        <x:v>1006393.4870841685</x:v>
      </x:c>
      <x:c r="M9" s="35" t="n">
        <x:f>M7*M8</x:f>
        <x:v>1026502.0224041484</x:v>
      </x:c>
      <x:c r="N9" s="35" t="n">
        <x:f>N7*N8</x:f>
        <x:v>1046419.3013100048</x:v>
      </x:c>
      <x:c r="O9" s="35" t="n">
        <x:f>O7*O8</x:f>
        <x:v>1066151.0906315073</x:v>
      </x:c>
      <x:c r="P9" s="35" t="n">
        <x:f>P7*P8</x:f>
        <x:v>1085703.0385216882</x:v>
      </x:c>
      <x:c r="Q9" s="35" t="n">
        <x:f>Q7*Q8</x:f>
        <x:v>1105080.6771426436</x:v>
      </x:c>
      <x:c r="R9" s="35" t="n">
        <x:f>R7*R8</x:f>
        <x:v>1124289.425292123</x:v>
      </x:c>
      <x:c r="S9" s="35" t="n">
        <x:f>S7*S8</x:f>
        <x:v>1143334.5909722273</x:v>
      </x:c>
      <x:c r="T9" s="35" t="n">
        <x:f>T7*T8</x:f>
        <x:v>1162221.3739014943</x:v>
      </x:c>
      <x:c r="U9" s="35" t="n">
        <x:f>U7*U8</x:f>
        <x:v>1180954.8679716373</x:v>
      </x:c>
      <x:c r="V9" s="35" t="n">
        <x:f>V7*V8</x:f>
        <x:v>1199540.0636501538</x:v>
      </x:c>
      <x:c r="W9" s="35" t="n">
        <x:f>W7*W8</x:f>
        <x:v>1217981.8503300196</x:v>
      </x:c>
      <x:c r="X9" s="35" t="n">
        <x:f>X7*X8</x:f>
        <x:v>1236285.018627631</x:v>
      </x:c>
      <x:c r="Y9" s="35" t="n">
        <x:f>Y7*Y8</x:f>
        <x:v>1254454.2626301553</x:v>
      </x:c>
    </x:row>
    <x:row r="10" ht="15" hidden="0" customHeight="1">
      <x:c r="A10" s="34" t="str">
        <x:v>ARR</x:v>
      </x:c>
      <x:c r="B10" s="35" t="n">
        <x:f>B9*12</x:f>
        <x:v>9521157.427199999</x:v>
      </x:c>
      <x:c r="C10" s="35" t="n">
        <x:f>C9*12</x:f>
        <x:v>9789554.584713832</x:v>
      </x:c>
      <x:c r="D10" s="35" t="n">
        <x:f>D9*12</x:f>
        <x:v>10054878.687092055</x:v>
      </x:c>
      <x:c r="E10" s="35" t="n">
        <x:f>E9*12</x:f>
        <x:v>10317215.11845923</x:v>
      </x:c>
      <x:c r="F10" s="35" t="n">
        <x:f>F9*12</x:f>
        <x:v>10576647.473708475</x:v>
      </x:c>
      <x:c r="G10" s="35" t="n">
        <x:f>G9*12</x:f>
        <x:v>10833257.598786525</x:v>
      </x:c>
      <x:c r="H10" s="35" t="n">
        <x:f>H9*12</x:f>
        <x:v>11087125.630089499</x:v>
      </x:c>
      <x:c r="I10" s="35" t="n">
        <x:f>I9*12</x:f>
        <x:v>11338330.032989062</x:v>
      </x:c>
      <x:c r="J10" s="35" t="n">
        <x:f>J9*12</x:f>
        <x:v>11586947.639508355</x:v>
      </x:c>
      <x:c r="K10" s="35" t="n">
        <x:f>K9*12</x:f>
        <x:v>11833053.68516647</x:v>
      </x:c>
      <x:c r="L10" s="35" t="n">
        <x:f>L9*12</x:f>
        <x:v>12076721.845010022</x:v>
      </x:c>
      <x:c r="M10" s="35" t="n">
        <x:f>M9*12</x:f>
        <x:v>12318024.26884978</x:v>
      </x:c>
      <x:c r="N10" s="35" t="n">
        <x:f>N9*12</x:f>
        <x:v>12557031.615720058</x:v>
      </x:c>
      <x:c r="O10" s="35" t="n">
        <x:f>O9*12</x:f>
        <x:v>12793813.087578088</x:v>
      </x:c>
      <x:c r="P10" s="35" t="n">
        <x:f>P9*12</x:f>
        <x:v>13028436.462260257</x:v>
      </x:c>
      <x:c r="Q10" s="35" t="n">
        <x:f>Q9*12</x:f>
        <x:v>13260968.125711724</x:v>
      </x:c>
      <x:c r="R10" s="35" t="n">
        <x:f>R9*12</x:f>
        <x:v>13491473.103505477</x:v>
      </x:c>
      <x:c r="S10" s="35" t="n">
        <x:f>S9*12</x:f>
        <x:v>13720015.091666728</x:v>
      </x:c>
      <x:c r="T10" s="35" t="n">
        <x:f>T9*12</x:f>
        <x:v>13946656.486817932</x:v>
      </x:c>
      <x:c r="U10" s="35" t="n">
        <x:f>U9*12</x:f>
        <x:v>14171458.415659647</x:v>
      </x:c>
      <x:c r="V10" s="35" t="n">
        <x:f>V9*12</x:f>
        <x:v>14394480.763801847</x:v>
      </x:c>
      <x:c r="W10" s="35" t="n">
        <x:f>W9*12</x:f>
        <x:v>14615782.203960236</x:v>
      </x:c>
      <x:c r="X10" s="35" t="n">
        <x:f>X9*12</x:f>
        <x:v>14835420.223531572</x:v>
      </x:c>
      <x:c r="Y10" s="35" t="n">
        <x:f>Y9*12</x:f>
        <x:v>15053451.151561864</x:v>
      </x:c>
    </x:row>
    <x:row r="11" ht="15" hidden="0" customHeight="1">
      <x:c r="A11" s="34" t="str">
        <x:v>NRR</x:v>
      </x:c>
      <x:c r="B11" s="37" t="n">
        <x:f>1-'Scenario Controls'!$B$9+'Scenario Controls'!$B$10</x:f>
        <x:v>0.984</x:v>
      </x:c>
      <x:c r="C11" s="37" t="n">
        <x:f>1-'Scenario Controls'!$B$9+'Scenario Controls'!$B$10</x:f>
        <x:v>0.984</x:v>
      </x:c>
      <x:c r="D11" s="37" t="n">
        <x:f>1-'Scenario Controls'!$B$9+'Scenario Controls'!$B$10</x:f>
        <x:v>0.984</x:v>
      </x:c>
      <x:c r="E11" s="37" t="n">
        <x:f>1-'Scenario Controls'!$B$9+'Scenario Controls'!$B$10</x:f>
        <x:v>0.984</x:v>
      </x:c>
      <x:c r="F11" s="37" t="n">
        <x:f>1-'Scenario Controls'!$B$9+'Scenario Controls'!$B$10</x:f>
        <x:v>0.984</x:v>
      </x:c>
      <x:c r="G11" s="37" t="n">
        <x:f>1-'Scenario Controls'!$B$9+'Scenario Controls'!$B$10</x:f>
        <x:v>0.984</x:v>
      </x:c>
      <x:c r="H11" s="37" t="n">
        <x:f>1-'Scenario Controls'!$B$9+'Scenario Controls'!$B$10</x:f>
        <x:v>0.984</x:v>
      </x:c>
      <x:c r="I11" s="37" t="n">
        <x:f>1-'Scenario Controls'!$B$9+'Scenario Controls'!$B$10</x:f>
        <x:v>0.984</x:v>
      </x:c>
      <x:c r="J11" s="37" t="n">
        <x:f>1-'Scenario Controls'!$B$9+'Scenario Controls'!$B$10</x:f>
        <x:v>0.984</x:v>
      </x:c>
      <x:c r="K11" s="37" t="n">
        <x:f>1-'Scenario Controls'!$B$9+'Scenario Controls'!$B$10</x:f>
        <x:v>0.984</x:v>
      </x:c>
      <x:c r="L11" s="37" t="n">
        <x:f>1-'Scenario Controls'!$B$9+'Scenario Controls'!$B$10</x:f>
        <x:v>0.984</x:v>
      </x:c>
      <x:c r="M11" s="37" t="n">
        <x:f>1-'Scenario Controls'!$B$9+'Scenario Controls'!$B$10</x:f>
        <x:v>0.984</x:v>
      </x:c>
      <x:c r="N11" s="37" t="n">
        <x:f>1-'Scenario Controls'!$B$9+'Scenario Controls'!$B$10</x:f>
        <x:v>0.984</x:v>
      </x:c>
      <x:c r="O11" s="37" t="n">
        <x:f>1-'Scenario Controls'!$B$9+'Scenario Controls'!$B$10</x:f>
        <x:v>0.984</x:v>
      </x:c>
      <x:c r="P11" s="37" t="n">
        <x:f>1-'Scenario Controls'!$B$9+'Scenario Controls'!$B$10</x:f>
        <x:v>0.984</x:v>
      </x:c>
      <x:c r="Q11" s="37" t="n">
        <x:f>1-'Scenario Controls'!$B$9+'Scenario Controls'!$B$10</x:f>
        <x:v>0.984</x:v>
      </x:c>
      <x:c r="R11" s="37" t="n">
        <x:f>1-'Scenario Controls'!$B$9+'Scenario Controls'!$B$10</x:f>
        <x:v>0.984</x:v>
      </x:c>
      <x:c r="S11" s="37" t="n">
        <x:f>1-'Scenario Controls'!$B$9+'Scenario Controls'!$B$10</x:f>
        <x:v>0.984</x:v>
      </x:c>
      <x:c r="T11" s="37" t="n">
        <x:f>1-'Scenario Controls'!$B$9+'Scenario Controls'!$B$10</x:f>
        <x:v>0.984</x:v>
      </x:c>
      <x:c r="U11" s="37" t="n">
        <x:f>1-'Scenario Controls'!$B$9+'Scenario Controls'!$B$10</x:f>
        <x:v>0.984</x:v>
      </x:c>
      <x:c r="V11" s="37" t="n">
        <x:f>1-'Scenario Controls'!$B$9+'Scenario Controls'!$B$10</x:f>
        <x:v>0.984</x:v>
      </x:c>
      <x:c r="W11" s="37" t="n">
        <x:f>1-'Scenario Controls'!$B$9+'Scenario Controls'!$B$10</x:f>
        <x:v>0.984</x:v>
      </x:c>
      <x:c r="X11" s="37" t="n">
        <x:f>1-'Scenario Controls'!$B$9+'Scenario Controls'!$B$10</x:f>
        <x:v>0.984</x:v>
      </x:c>
      <x:c r="Y11" s="37" t="n">
        <x:f>1-'Scenario Controls'!$B$9+'Scenario Controls'!$B$10</x:f>
        <x:v>0.984</x:v>
      </x:c>
    </x:row>
    <x:row r="12" ht="15" hidden="0" customHeight="1">
      <x:c r="A12" s="34" t="str">
        <x:v>CAC Spend</x:v>
      </x:c>
      <x:c r="B12" s="35" t="n">
        <x:f>B5*'Scenario Controls'!$B$13</x:f>
        <x:v>77700</x:v>
      </x:c>
      <x:c r="C12" s="35" t="n">
        <x:f>C5*'Scenario Controls'!$B$13</x:f>
        <x:v>77700</x:v>
      </x:c>
      <x:c r="D12" s="35" t="n">
        <x:f>D5*'Scenario Controls'!$B$13</x:f>
        <x:v>77700</x:v>
      </x:c>
      <x:c r="E12" s="35" t="n">
        <x:f>E5*'Scenario Controls'!$B$13</x:f>
        <x:v>77700</x:v>
      </x:c>
      <x:c r="F12" s="35" t="n">
        <x:f>F5*'Scenario Controls'!$B$13</x:f>
        <x:v>77700</x:v>
      </x:c>
      <x:c r="G12" s="35" t="n">
        <x:f>G5*'Scenario Controls'!$B$13</x:f>
        <x:v>77700</x:v>
      </x:c>
      <x:c r="H12" s="35" t="n">
        <x:f>H5*'Scenario Controls'!$B$13</x:f>
        <x:v>77700</x:v>
      </x:c>
      <x:c r="I12" s="35" t="n">
        <x:f>I5*'Scenario Controls'!$B$13</x:f>
        <x:v>77700</x:v>
      </x:c>
      <x:c r="J12" s="35" t="n">
        <x:f>J5*'Scenario Controls'!$B$13</x:f>
        <x:v>77700</x:v>
      </x:c>
      <x:c r="K12" s="35" t="n">
        <x:f>K5*'Scenario Controls'!$B$13</x:f>
        <x:v>77700</x:v>
      </x:c>
      <x:c r="L12" s="35" t="n">
        <x:f>L5*'Scenario Controls'!$B$13</x:f>
        <x:v>77700</x:v>
      </x:c>
      <x:c r="M12" s="35" t="n">
        <x:f>M5*'Scenario Controls'!$B$13</x:f>
        <x:v>77700</x:v>
      </x:c>
      <x:c r="N12" s="35" t="n">
        <x:f>N5*'Scenario Controls'!$B$13</x:f>
        <x:v>77700</x:v>
      </x:c>
      <x:c r="O12" s="35" t="n">
        <x:f>O5*'Scenario Controls'!$B$13</x:f>
        <x:v>77700</x:v>
      </x:c>
      <x:c r="P12" s="35" t="n">
        <x:f>P5*'Scenario Controls'!$B$13</x:f>
        <x:v>77700</x:v>
      </x:c>
      <x:c r="Q12" s="35" t="n">
        <x:f>Q5*'Scenario Controls'!$B$13</x:f>
        <x:v>77700</x:v>
      </x:c>
      <x:c r="R12" s="35" t="n">
        <x:f>R5*'Scenario Controls'!$B$13</x:f>
        <x:v>77700</x:v>
      </x:c>
      <x:c r="S12" s="35" t="n">
        <x:f>S5*'Scenario Controls'!$B$13</x:f>
        <x:v>77700</x:v>
      </x:c>
      <x:c r="T12" s="35" t="n">
        <x:f>T5*'Scenario Controls'!$B$13</x:f>
        <x:v>77700</x:v>
      </x:c>
      <x:c r="U12" s="35" t="n">
        <x:f>U5*'Scenario Controls'!$B$13</x:f>
        <x:v>77700</x:v>
      </x:c>
      <x:c r="V12" s="35" t="n">
        <x:f>V5*'Scenario Controls'!$B$13</x:f>
        <x:v>77700</x:v>
      </x:c>
      <x:c r="W12" s="35" t="n">
        <x:f>W5*'Scenario Controls'!$B$13</x:f>
        <x:v>77700</x:v>
      </x:c>
      <x:c r="X12" s="35" t="n">
        <x:f>X5*'Scenario Controls'!$B$13</x:f>
        <x:v>77700</x:v>
      </x:c>
      <x:c r="Y12" s="35" t="n">
        <x:f>Y5*'Scenario Controls'!$B$13</x:f>
        <x:v>77700</x:v>
      </x:c>
    </x:row>
  </x:sheetData>
  <x:mergeCells>
    <x:mergeCell ref="A1:Y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15" hidden="0" customHeight="1">
      <x:c r="A1" s="20" t="str">
        <x:v>Expense Forecast</x:v>
      </x:c>
      <x:c r="B1" s="20" t="str">
        <x:v>Expense Forecast</x:v>
      </x:c>
      <x:c r="C1" s="20" t="str">
        <x:v>Expense Forecast</x:v>
      </x:c>
      <x:c r="D1" s="20" t="str">
        <x:v>Expense Forecast</x:v>
      </x:c>
      <x:c r="E1" s="20" t="str">
        <x:v>Expense Forecast</x:v>
      </x:c>
      <x:c r="F1" s="20" t="str">
        <x:v>Expense Forecast</x:v>
      </x:c>
      <x:c r="G1" s="20" t="str">
        <x:v>Expense Forecast</x:v>
      </x:c>
      <x:c r="H1" s="20" t="str">
        <x:v>Expense Forecast</x:v>
      </x:c>
      <x:c r="I1" s="20" t="str">
        <x:v>Expense Forecast</x:v>
      </x:c>
      <x:c r="J1" s="20" t="str">
        <x:v>Expense Forecast</x:v>
      </x:c>
      <x:c r="K1" s="20" t="str">
        <x:v>Expense Forecast</x:v>
      </x:c>
      <x:c r="L1" s="20" t="str">
        <x:v>Expense Forecast</x:v>
      </x:c>
      <x:c r="M1" s="20" t="str">
        <x:v>Expense Forecast</x:v>
      </x:c>
      <x:c r="N1" s="20" t="str">
        <x:v>Expense Forecast</x:v>
      </x:c>
      <x:c r="O1" s="20" t="str">
        <x:v>Expense Forecast</x:v>
      </x:c>
      <x:c r="P1" s="20" t="str">
        <x:v>Expense Forecast</x:v>
      </x:c>
      <x:c r="Q1" s="20" t="str">
        <x:v>Expense Forecast</x:v>
      </x:c>
      <x:c r="R1" s="20" t="str">
        <x:v>Expense Forecast</x:v>
      </x:c>
      <x:c r="S1" s="20" t="str">
        <x:v>Expense Forecast</x:v>
      </x:c>
      <x:c r="T1" s="20" t="str">
        <x:v>Expense Forecast</x:v>
      </x:c>
      <x:c r="U1" s="20" t="str">
        <x:v>Expense Forecast</x:v>
      </x:c>
      <x:c r="V1" s="20" t="str">
        <x:v>Expense Forecast</x:v>
      </x:c>
      <x:c r="W1" s="20" t="str">
        <x:v>Expense Forecast</x:v>
      </x:c>
      <x:c r="X1" s="20" t="str">
        <x:v>Expense Forecast</x:v>
      </x:c>
      <x:c r="Y1" s="20" t="str">
        <x:v>Expense Forecast</x:v>
      </x:c>
    </x:row>
    <x:row r="2" ht="15" hidden="0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</x:row>
    <x:row r="3" ht="15" hidden="0" customHeight="1">
      <x:c r="A3" s="27" t="str">
        <x:v>Month</x:v>
      </x:c>
      <x:c r="B3" s="46" t="n">
        <x:v>46023</x:v>
      </x:c>
      <x:c r="C3" s="46" t="n">
        <x:v>46054</x:v>
      </x:c>
      <x:c r="D3" s="46" t="n">
        <x:v>46082</x:v>
      </x:c>
      <x:c r="E3" s="46" t="n">
        <x:v>46113</x:v>
      </x:c>
      <x:c r="F3" s="46" t="n">
        <x:v>46143</x:v>
      </x:c>
      <x:c r="G3" s="46" t="n">
        <x:v>46174</x:v>
      </x:c>
      <x:c r="H3" s="46" t="n">
        <x:v>46204</x:v>
      </x:c>
      <x:c r="I3" s="46" t="n">
        <x:v>46235</x:v>
      </x:c>
      <x:c r="J3" s="46" t="n">
        <x:v>46266</x:v>
      </x:c>
      <x:c r="K3" s="46" t="n">
        <x:v>46296</x:v>
      </x:c>
      <x:c r="L3" s="46" t="n">
        <x:v>46327</x:v>
      </x:c>
      <x:c r="M3" s="46" t="n">
        <x:v>46357</x:v>
      </x:c>
      <x:c r="N3" s="46" t="n">
        <x:v>46388</x:v>
      </x:c>
      <x:c r="O3" s="46" t="n">
        <x:v>46419</x:v>
      </x:c>
      <x:c r="P3" s="46" t="n">
        <x:v>46447</x:v>
      </x:c>
      <x:c r="Q3" s="46" t="n">
        <x:v>46478</x:v>
      </x:c>
      <x:c r="R3" s="46" t="n">
        <x:v>46508</x:v>
      </x:c>
      <x:c r="S3" s="46" t="n">
        <x:v>46539</x:v>
      </x:c>
      <x:c r="T3" s="46" t="n">
        <x:v>46569</x:v>
      </x:c>
      <x:c r="U3" s="46" t="n">
        <x:v>46600</x:v>
      </x:c>
      <x:c r="V3" s="46" t="n">
        <x:v>46631</x:v>
      </x:c>
      <x:c r="W3" s="46" t="n">
        <x:v>46661</x:v>
      </x:c>
      <x:c r="X3" s="46" t="n">
        <x:v>46692</x:v>
      </x:c>
      <x:c r="Y3" s="47" t="n">
        <x:v>46722</x:v>
      </x:c>
    </x:row>
    <x:row r="4" ht="15" hidden="0" customHeight="1">
      <x:c r="A4" s="34" t="str">
        <x:v>Engineering FTE</x:v>
      </x:c>
      <x:c r="B4" s="36" t="n">
        <x:f>'Hiring Plan'!B4</x:f>
        <x:v>18</x:v>
      </x:c>
      <x:c r="C4" s="36" t="n">
        <x:f>'Hiring Plan'!B5</x:f>
        <x:v>19</x:v>
      </x:c>
      <x:c r="D4" s="36" t="n">
        <x:f>'Hiring Plan'!B6</x:f>
        <x:v>20</x:v>
      </x:c>
      <x:c r="E4" s="36" t="n">
        <x:f>'Hiring Plan'!B7</x:f>
        <x:v>21</x:v>
      </x:c>
      <x:c r="F4" s="36" t="n">
        <x:f>'Hiring Plan'!B8</x:f>
        <x:v>22</x:v>
      </x:c>
      <x:c r="G4" s="36" t="n">
        <x:f>'Hiring Plan'!B9</x:f>
        <x:v>23</x:v>
      </x:c>
      <x:c r="H4" s="36" t="n">
        <x:f>'Hiring Plan'!B10</x:f>
        <x:v>24</x:v>
      </x:c>
      <x:c r="I4" s="36" t="n">
        <x:f>'Hiring Plan'!B11</x:f>
        <x:v>25</x:v>
      </x:c>
      <x:c r="J4" s="36" t="n">
        <x:f>'Hiring Plan'!B12</x:f>
        <x:v>26</x:v>
      </x:c>
      <x:c r="K4" s="36" t="n">
        <x:f>'Hiring Plan'!B13</x:f>
        <x:v>27</x:v>
      </x:c>
      <x:c r="L4" s="36" t="n">
        <x:f>'Hiring Plan'!B14</x:f>
        <x:v>28</x:v>
      </x:c>
      <x:c r="M4" s="36" t="n">
        <x:f>'Hiring Plan'!B15</x:f>
        <x:v>29</x:v>
      </x:c>
      <x:c r="N4" s="36" t="n">
        <x:f>'Hiring Plan'!B16</x:f>
        <x:v>30</x:v>
      </x:c>
      <x:c r="O4" s="36" t="n">
        <x:f>'Hiring Plan'!B17</x:f>
        <x:v>31</x:v>
      </x:c>
      <x:c r="P4" s="36" t="n">
        <x:f>'Hiring Plan'!B18</x:f>
        <x:v>32</x:v>
      </x:c>
      <x:c r="Q4" s="36" t="n">
        <x:f>'Hiring Plan'!B19</x:f>
        <x:v>33</x:v>
      </x:c>
      <x:c r="R4" s="36" t="n">
        <x:f>'Hiring Plan'!B20</x:f>
        <x:v>34</x:v>
      </x:c>
      <x:c r="S4" s="36" t="n">
        <x:f>'Hiring Plan'!B21</x:f>
        <x:v>35</x:v>
      </x:c>
      <x:c r="T4" s="36" t="n">
        <x:f>'Hiring Plan'!B22</x:f>
        <x:v>36</x:v>
      </x:c>
      <x:c r="U4" s="36" t="n">
        <x:f>'Hiring Plan'!B23</x:f>
        <x:v>37</x:v>
      </x:c>
      <x:c r="V4" s="36" t="n">
        <x:f>'Hiring Plan'!B24</x:f>
        <x:v>38</x:v>
      </x:c>
      <x:c r="W4" s="36" t="n">
        <x:f>'Hiring Plan'!B25</x:f>
        <x:v>39</x:v>
      </x:c>
      <x:c r="X4" s="36" t="n">
        <x:f>'Hiring Plan'!B26</x:f>
        <x:v>40</x:v>
      </x:c>
      <x:c r="Y4" s="36" t="n">
        <x:f>'Hiring Plan'!B27</x:f>
        <x:v>41</x:v>
      </x:c>
    </x:row>
    <x:row r="5" ht="15" hidden="0" customHeight="1">
      <x:c r="A5" s="34" t="str">
        <x:v>Sales FTE</x:v>
      </x:c>
      <x:c r="B5" s="36" t="n">
        <x:f>'Hiring Plan'!C4</x:f>
        <x:v>10</x:v>
      </x:c>
      <x:c r="C5" s="36" t="n">
        <x:f>'Hiring Plan'!C5</x:f>
        <x:v>11</x:v>
      </x:c>
      <x:c r="D5" s="36" t="n">
        <x:f>'Hiring Plan'!C6</x:f>
        <x:v>12</x:v>
      </x:c>
      <x:c r="E5" s="36" t="n">
        <x:f>'Hiring Plan'!C7</x:f>
        <x:v>13</x:v>
      </x:c>
      <x:c r="F5" s="36" t="n">
        <x:f>'Hiring Plan'!C8</x:f>
        <x:v>14</x:v>
      </x:c>
      <x:c r="G5" s="36" t="n">
        <x:f>'Hiring Plan'!C9</x:f>
        <x:v>15</x:v>
      </x:c>
      <x:c r="H5" s="36" t="n">
        <x:f>'Hiring Plan'!C10</x:f>
        <x:v>16</x:v>
      </x:c>
      <x:c r="I5" s="36" t="n">
        <x:f>'Hiring Plan'!C11</x:f>
        <x:v>17</x:v>
      </x:c>
      <x:c r="J5" s="36" t="n">
        <x:f>'Hiring Plan'!C12</x:f>
        <x:v>18</x:v>
      </x:c>
      <x:c r="K5" s="36" t="n">
        <x:f>'Hiring Plan'!C13</x:f>
        <x:v>19</x:v>
      </x:c>
      <x:c r="L5" s="36" t="n">
        <x:f>'Hiring Plan'!C14</x:f>
        <x:v>20</x:v>
      </x:c>
      <x:c r="M5" s="36" t="n">
        <x:f>'Hiring Plan'!C15</x:f>
        <x:v>21</x:v>
      </x:c>
      <x:c r="N5" s="36" t="n">
        <x:f>'Hiring Plan'!C16</x:f>
        <x:v>22</x:v>
      </x:c>
      <x:c r="O5" s="36" t="n">
        <x:f>'Hiring Plan'!C17</x:f>
        <x:v>23</x:v>
      </x:c>
      <x:c r="P5" s="36" t="n">
        <x:f>'Hiring Plan'!C18</x:f>
        <x:v>24</x:v>
      </x:c>
      <x:c r="Q5" s="36" t="n">
        <x:f>'Hiring Plan'!C19</x:f>
        <x:v>25</x:v>
      </x:c>
      <x:c r="R5" s="36" t="n">
        <x:f>'Hiring Plan'!C20</x:f>
        <x:v>26</x:v>
      </x:c>
      <x:c r="S5" s="36" t="n">
        <x:f>'Hiring Plan'!C21</x:f>
        <x:v>27</x:v>
      </x:c>
      <x:c r="T5" s="36" t="n">
        <x:f>'Hiring Plan'!C22</x:f>
        <x:v>28</x:v>
      </x:c>
      <x:c r="U5" s="36" t="n">
        <x:f>'Hiring Plan'!C23</x:f>
        <x:v>29</x:v>
      </x:c>
      <x:c r="V5" s="36" t="n">
        <x:f>'Hiring Plan'!C24</x:f>
        <x:v>30</x:v>
      </x:c>
      <x:c r="W5" s="36" t="n">
        <x:f>'Hiring Plan'!C25</x:f>
        <x:v>31</x:v>
      </x:c>
      <x:c r="X5" s="36" t="n">
        <x:f>'Hiring Plan'!C26</x:f>
        <x:v>32</x:v>
      </x:c>
      <x:c r="Y5" s="36" t="n">
        <x:f>'Hiring Plan'!C27</x:f>
        <x:v>33</x:v>
      </x:c>
    </x:row>
    <x:row r="6" ht="15" hidden="0" customHeight="1">
      <x:c r="A6" s="34" t="str">
        <x:v>Customer Success FTE</x:v>
      </x:c>
      <x:c r="B6" s="36" t="n">
        <x:f>'Hiring Plan'!D4</x:f>
        <x:v>8</x:v>
      </x:c>
      <x:c r="C6" s="36" t="n">
        <x:f>'Hiring Plan'!D5</x:f>
        <x:v>8</x:v>
      </x:c>
      <x:c r="D6" s="36" t="n">
        <x:f>'Hiring Plan'!D6</x:f>
        <x:v>9</x:v>
      </x:c>
      <x:c r="E6" s="36" t="n">
        <x:f>'Hiring Plan'!D7</x:f>
        <x:v>9</x:v>
      </x:c>
      <x:c r="F6" s="36" t="n">
        <x:f>'Hiring Plan'!D8</x:f>
        <x:v>10</x:v>
      </x:c>
      <x:c r="G6" s="36" t="n">
        <x:f>'Hiring Plan'!D9</x:f>
        <x:v>10</x:v>
      </x:c>
      <x:c r="H6" s="36" t="n">
        <x:f>'Hiring Plan'!D10</x:f>
        <x:v>11</x:v>
      </x:c>
      <x:c r="I6" s="36" t="n">
        <x:f>'Hiring Plan'!D11</x:f>
        <x:v>11</x:v>
      </x:c>
      <x:c r="J6" s="36" t="n">
        <x:f>'Hiring Plan'!D12</x:f>
        <x:v>12</x:v>
      </x:c>
      <x:c r="K6" s="36" t="n">
        <x:f>'Hiring Plan'!D13</x:f>
        <x:v>12</x:v>
      </x:c>
      <x:c r="L6" s="36" t="n">
        <x:f>'Hiring Plan'!D14</x:f>
        <x:v>13</x:v>
      </x:c>
      <x:c r="M6" s="36" t="n">
        <x:f>'Hiring Plan'!D15</x:f>
        <x:v>13</x:v>
      </x:c>
      <x:c r="N6" s="36" t="n">
        <x:f>'Hiring Plan'!D16</x:f>
        <x:v>14</x:v>
      </x:c>
      <x:c r="O6" s="36" t="n">
        <x:f>'Hiring Plan'!D17</x:f>
        <x:v>14</x:v>
      </x:c>
      <x:c r="P6" s="36" t="n">
        <x:f>'Hiring Plan'!D18</x:f>
        <x:v>15</x:v>
      </x:c>
      <x:c r="Q6" s="36" t="n">
        <x:f>'Hiring Plan'!D19</x:f>
        <x:v>15</x:v>
      </x:c>
      <x:c r="R6" s="36" t="n">
        <x:f>'Hiring Plan'!D20</x:f>
        <x:v>16</x:v>
      </x:c>
      <x:c r="S6" s="36" t="n">
        <x:f>'Hiring Plan'!D21</x:f>
        <x:v>16</x:v>
      </x:c>
      <x:c r="T6" s="36" t="n">
        <x:f>'Hiring Plan'!D22</x:f>
        <x:v>17</x:v>
      </x:c>
      <x:c r="U6" s="36" t="n">
        <x:f>'Hiring Plan'!D23</x:f>
        <x:v>17</x:v>
      </x:c>
      <x:c r="V6" s="36" t="n">
        <x:f>'Hiring Plan'!D24</x:f>
        <x:v>18</x:v>
      </x:c>
      <x:c r="W6" s="36" t="n">
        <x:f>'Hiring Plan'!D25</x:f>
        <x:v>18</x:v>
      </x:c>
      <x:c r="X6" s="36" t="n">
        <x:f>'Hiring Plan'!D26</x:f>
        <x:v>19</x:v>
      </x:c>
      <x:c r="Y6" s="36" t="n">
        <x:f>'Hiring Plan'!D27</x:f>
        <x:v>19</x:v>
      </x:c>
    </x:row>
    <x:row r="7" ht="15" hidden="0" customHeight="1">
      <x:c r="A7" s="34" t="str">
        <x:v>G&amp;A FTE</x:v>
      </x:c>
      <x:c r="B7" s="36" t="n">
        <x:f>'Hiring Plan'!E4</x:f>
        <x:v>6</x:v>
      </x:c>
      <x:c r="C7" s="36" t="n">
        <x:f>'Hiring Plan'!E5</x:f>
        <x:v>6</x:v>
      </x:c>
      <x:c r="D7" s="36" t="n">
        <x:f>'Hiring Plan'!E6</x:f>
        <x:v>6</x:v>
      </x:c>
      <x:c r="E7" s="36" t="n">
        <x:f>'Hiring Plan'!E7</x:f>
        <x:v>7</x:v>
      </x:c>
      <x:c r="F7" s="36" t="n">
        <x:f>'Hiring Plan'!E8</x:f>
        <x:v>7</x:v>
      </x:c>
      <x:c r="G7" s="36" t="n">
        <x:f>'Hiring Plan'!E9</x:f>
        <x:v>7</x:v>
      </x:c>
      <x:c r="H7" s="36" t="n">
        <x:f>'Hiring Plan'!E10</x:f>
        <x:v>8</x:v>
      </x:c>
      <x:c r="I7" s="36" t="n">
        <x:f>'Hiring Plan'!E11</x:f>
        <x:v>8</x:v>
      </x:c>
      <x:c r="J7" s="36" t="n">
        <x:f>'Hiring Plan'!E12</x:f>
        <x:v>8</x:v>
      </x:c>
      <x:c r="K7" s="36" t="n">
        <x:f>'Hiring Plan'!E13</x:f>
        <x:v>9</x:v>
      </x:c>
      <x:c r="L7" s="36" t="n">
        <x:f>'Hiring Plan'!E14</x:f>
        <x:v>9</x:v>
      </x:c>
      <x:c r="M7" s="36" t="n">
        <x:f>'Hiring Plan'!E15</x:f>
        <x:v>9</x:v>
      </x:c>
      <x:c r="N7" s="36" t="n">
        <x:f>'Hiring Plan'!E16</x:f>
        <x:v>10</x:v>
      </x:c>
      <x:c r="O7" s="36" t="n">
        <x:f>'Hiring Plan'!E17</x:f>
        <x:v>10</x:v>
      </x:c>
      <x:c r="P7" s="36" t="n">
        <x:f>'Hiring Plan'!E18</x:f>
        <x:v>10</x:v>
      </x:c>
      <x:c r="Q7" s="36" t="n">
        <x:f>'Hiring Plan'!E19</x:f>
        <x:v>11</x:v>
      </x:c>
      <x:c r="R7" s="36" t="n">
        <x:f>'Hiring Plan'!E20</x:f>
        <x:v>11</x:v>
      </x:c>
      <x:c r="S7" s="36" t="n">
        <x:f>'Hiring Plan'!E21</x:f>
        <x:v>11</x:v>
      </x:c>
      <x:c r="T7" s="36" t="n">
        <x:f>'Hiring Plan'!E22</x:f>
        <x:v>12</x:v>
      </x:c>
      <x:c r="U7" s="36" t="n">
        <x:f>'Hiring Plan'!E23</x:f>
        <x:v>12</x:v>
      </x:c>
      <x:c r="V7" s="36" t="n">
        <x:f>'Hiring Plan'!E24</x:f>
        <x:v>12</x:v>
      </x:c>
      <x:c r="W7" s="36" t="n">
        <x:f>'Hiring Plan'!E25</x:f>
        <x:v>13</x:v>
      </x:c>
      <x:c r="X7" s="36" t="n">
        <x:f>'Hiring Plan'!E26</x:f>
        <x:v>13</x:v>
      </x:c>
      <x:c r="Y7" s="36" t="n">
        <x:f>'Hiring Plan'!E27</x:f>
        <x:v>13</x:v>
      </x:c>
    </x:row>
    <x:row r="8" ht="15" hidden="0" customHeight="1">
      <x:c r="A8" s="34" t="str">
        <x:v>Total Headcount</x:v>
      </x:c>
      <x:c r="B8" s="36" t="n">
        <x:f>SUM(B4:B7)</x:f>
        <x:v>42</x:v>
      </x:c>
      <x:c r="C8" s="36" t="n">
        <x:f>SUM(C4:C7)</x:f>
        <x:v>44</x:v>
      </x:c>
      <x:c r="D8" s="36" t="n">
        <x:f>SUM(D4:D7)</x:f>
        <x:v>47</x:v>
      </x:c>
      <x:c r="E8" s="36" t="n">
        <x:f>SUM(E4:E7)</x:f>
        <x:v>50</x:v>
      </x:c>
      <x:c r="F8" s="36" t="n">
        <x:f>SUM(F4:F7)</x:f>
        <x:v>53</x:v>
      </x:c>
      <x:c r="G8" s="36" t="n">
        <x:f>SUM(G4:G7)</x:f>
        <x:v>55</x:v>
      </x:c>
      <x:c r="H8" s="36" t="n">
        <x:f>SUM(H4:H7)</x:f>
        <x:v>59</x:v>
      </x:c>
      <x:c r="I8" s="36" t="n">
        <x:f>SUM(I4:I7)</x:f>
        <x:v>61</x:v>
      </x:c>
      <x:c r="J8" s="36" t="n">
        <x:f>SUM(J4:J7)</x:f>
        <x:v>64</x:v>
      </x:c>
      <x:c r="K8" s="36" t="n">
        <x:f>SUM(K4:K7)</x:f>
        <x:v>67</x:v>
      </x:c>
      <x:c r="L8" s="36" t="n">
        <x:f>SUM(L4:L7)</x:f>
        <x:v>70</x:v>
      </x:c>
      <x:c r="M8" s="36" t="n">
        <x:f>SUM(M4:M7)</x:f>
        <x:v>72</x:v>
      </x:c>
      <x:c r="N8" s="36" t="n">
        <x:f>SUM(N4:N7)</x:f>
        <x:v>76</x:v>
      </x:c>
      <x:c r="O8" s="36" t="n">
        <x:f>SUM(O4:O7)</x:f>
        <x:v>78</x:v>
      </x:c>
      <x:c r="P8" s="36" t="n">
        <x:f>SUM(P4:P7)</x:f>
        <x:v>81</x:v>
      </x:c>
      <x:c r="Q8" s="36" t="n">
        <x:f>SUM(Q4:Q7)</x:f>
        <x:v>84</x:v>
      </x:c>
      <x:c r="R8" s="36" t="n">
        <x:f>SUM(R4:R7)</x:f>
        <x:v>87</x:v>
      </x:c>
      <x:c r="S8" s="36" t="n">
        <x:f>SUM(S4:S7)</x:f>
        <x:v>89</x:v>
      </x:c>
      <x:c r="T8" s="36" t="n">
        <x:f>SUM(T4:T7)</x:f>
        <x:v>93</x:v>
      </x:c>
      <x:c r="U8" s="36" t="n">
        <x:f>SUM(U4:U7)</x:f>
        <x:v>95</x:v>
      </x:c>
      <x:c r="V8" s="36" t="n">
        <x:f>SUM(V4:V7)</x:f>
        <x:v>98</x:v>
      </x:c>
      <x:c r="W8" s="36" t="n">
        <x:f>SUM(W4:W7)</x:f>
        <x:v>101</x:v>
      </x:c>
      <x:c r="X8" s="36" t="n">
        <x:f>SUM(X4:X7)</x:f>
        <x:v>104</x:v>
      </x:c>
      <x:c r="Y8" s="36" t="n">
        <x:f>SUM(Y4:Y7)</x:f>
        <x:v>106</x:v>
      </x:c>
    </x:row>
    <x:row r="9" ht="15" hidden="0" customHeight="1">
      <x:c r="A9" s="34" t="str">
        <x:v>Payroll</x:v>
      </x:c>
      <x:c r="B9" s="35" t="n">
        <x:f>B8*'Scenario Controls'!$B$14</x:f>
        <x:v>609000</x:v>
      </x:c>
      <x:c r="C9" s="35" t="n">
        <x:f>C8*'Scenario Controls'!$B$14</x:f>
        <x:v>638000</x:v>
      </x:c>
      <x:c r="D9" s="35" t="n">
        <x:f>D8*'Scenario Controls'!$B$14</x:f>
        <x:v>681500</x:v>
      </x:c>
      <x:c r="E9" s="35" t="n">
        <x:f>E8*'Scenario Controls'!$B$14</x:f>
        <x:v>725000</x:v>
      </x:c>
      <x:c r="F9" s="35" t="n">
        <x:f>F8*'Scenario Controls'!$B$14</x:f>
        <x:v>768500</x:v>
      </x:c>
      <x:c r="G9" s="35" t="n">
        <x:f>G8*'Scenario Controls'!$B$14</x:f>
        <x:v>797500</x:v>
      </x:c>
      <x:c r="H9" s="35" t="n">
        <x:f>H8*'Scenario Controls'!$B$14</x:f>
        <x:v>855500</x:v>
      </x:c>
      <x:c r="I9" s="35" t="n">
        <x:f>I8*'Scenario Controls'!$B$14</x:f>
        <x:v>884500</x:v>
      </x:c>
      <x:c r="J9" s="35" t="n">
        <x:f>J8*'Scenario Controls'!$B$14</x:f>
        <x:v>928000</x:v>
      </x:c>
      <x:c r="K9" s="35" t="n">
        <x:f>K8*'Scenario Controls'!$B$14</x:f>
        <x:v>971500</x:v>
      </x:c>
      <x:c r="L9" s="35" t="n">
        <x:f>L8*'Scenario Controls'!$B$14</x:f>
        <x:v>1015000</x:v>
      </x:c>
      <x:c r="M9" s="35" t="n">
        <x:f>M8*'Scenario Controls'!$B$14</x:f>
        <x:v>1044000</x:v>
      </x:c>
      <x:c r="N9" s="35" t="n">
        <x:f>N8*'Scenario Controls'!$B$14</x:f>
        <x:v>1102000</x:v>
      </x:c>
      <x:c r="O9" s="35" t="n">
        <x:f>O8*'Scenario Controls'!$B$14</x:f>
        <x:v>1131000</x:v>
      </x:c>
      <x:c r="P9" s="35" t="n">
        <x:f>P8*'Scenario Controls'!$B$14</x:f>
        <x:v>1174500</x:v>
      </x:c>
      <x:c r="Q9" s="35" t="n">
        <x:f>Q8*'Scenario Controls'!$B$14</x:f>
        <x:v>1218000</x:v>
      </x:c>
      <x:c r="R9" s="35" t="n">
        <x:f>R8*'Scenario Controls'!$B$14</x:f>
        <x:v>1261500</x:v>
      </x:c>
      <x:c r="S9" s="35" t="n">
        <x:f>S8*'Scenario Controls'!$B$14</x:f>
        <x:v>1290500</x:v>
      </x:c>
      <x:c r="T9" s="35" t="n">
        <x:f>T8*'Scenario Controls'!$B$14</x:f>
        <x:v>1348500</x:v>
      </x:c>
      <x:c r="U9" s="35" t="n">
        <x:f>U8*'Scenario Controls'!$B$14</x:f>
        <x:v>1377500</x:v>
      </x:c>
      <x:c r="V9" s="35" t="n">
        <x:f>V8*'Scenario Controls'!$B$14</x:f>
        <x:v>1421000</x:v>
      </x:c>
      <x:c r="W9" s="35" t="n">
        <x:f>W8*'Scenario Controls'!$B$14</x:f>
        <x:v>1464500</x:v>
      </x:c>
      <x:c r="X9" s="35" t="n">
        <x:f>X8*'Scenario Controls'!$B$14</x:f>
        <x:v>1508000</x:v>
      </x:c>
      <x:c r="Y9" s="35" t="n">
        <x:f>Y8*'Scenario Controls'!$B$14</x:f>
        <x:v>1537000</x:v>
      </x:c>
    </x:row>
    <x:row r="10" ht="15" hidden="0" customHeight="1">
      <x:c r="A10" s="34" t="str">
        <x:v>NonPayroll Opex</x:v>
      </x:c>
      <x:c r="B10" s="35" t="n">
        <x:f>'Scenario Controls'!$B$15</x:f>
        <x:v>215000</x:v>
      </x:c>
      <x:c r="C10" s="35" t="n">
        <x:f>'Scenario Controls'!$B$15</x:f>
        <x:v>215000</x:v>
      </x:c>
      <x:c r="D10" s="35" t="n">
        <x:f>'Scenario Controls'!$B$15</x:f>
        <x:v>215000</x:v>
      </x:c>
      <x:c r="E10" s="35" t="n">
        <x:f>'Scenario Controls'!$B$15</x:f>
        <x:v>215000</x:v>
      </x:c>
      <x:c r="F10" s="35" t="n">
        <x:f>'Scenario Controls'!$B$15</x:f>
        <x:v>215000</x:v>
      </x:c>
      <x:c r="G10" s="35" t="n">
        <x:f>'Scenario Controls'!$B$15</x:f>
        <x:v>215000</x:v>
      </x:c>
      <x:c r="H10" s="35" t="n">
        <x:f>'Scenario Controls'!$B$15</x:f>
        <x:v>215000</x:v>
      </x:c>
      <x:c r="I10" s="35" t="n">
        <x:f>'Scenario Controls'!$B$15</x:f>
        <x:v>215000</x:v>
      </x:c>
      <x:c r="J10" s="35" t="n">
        <x:f>'Scenario Controls'!$B$15</x:f>
        <x:v>215000</x:v>
      </x:c>
      <x:c r="K10" s="35" t="n">
        <x:f>'Scenario Controls'!$B$15</x:f>
        <x:v>215000</x:v>
      </x:c>
      <x:c r="L10" s="35" t="n">
        <x:f>'Scenario Controls'!$B$15</x:f>
        <x:v>215000</x:v>
      </x:c>
      <x:c r="M10" s="35" t="n">
        <x:f>'Scenario Controls'!$B$15</x:f>
        <x:v>215000</x:v>
      </x:c>
      <x:c r="N10" s="35" t="n">
        <x:f>'Scenario Controls'!$B$15</x:f>
        <x:v>215000</x:v>
      </x:c>
      <x:c r="O10" s="35" t="n">
        <x:f>'Scenario Controls'!$B$15</x:f>
        <x:v>215000</x:v>
      </x:c>
      <x:c r="P10" s="35" t="n">
        <x:f>'Scenario Controls'!$B$15</x:f>
        <x:v>215000</x:v>
      </x:c>
      <x:c r="Q10" s="35" t="n">
        <x:f>'Scenario Controls'!$B$15</x:f>
        <x:v>215000</x:v>
      </x:c>
      <x:c r="R10" s="35" t="n">
        <x:f>'Scenario Controls'!$B$15</x:f>
        <x:v>215000</x:v>
      </x:c>
      <x:c r="S10" s="35" t="n">
        <x:f>'Scenario Controls'!$B$15</x:f>
        <x:v>215000</x:v>
      </x:c>
      <x:c r="T10" s="35" t="n">
        <x:f>'Scenario Controls'!$B$15</x:f>
        <x:v>215000</x:v>
      </x:c>
      <x:c r="U10" s="35" t="n">
        <x:f>'Scenario Controls'!$B$15</x:f>
        <x:v>215000</x:v>
      </x:c>
      <x:c r="V10" s="35" t="n">
        <x:f>'Scenario Controls'!$B$15</x:f>
        <x:v>215000</x:v>
      </x:c>
      <x:c r="W10" s="35" t="n">
        <x:f>'Scenario Controls'!$B$15</x:f>
        <x:v>215000</x:v>
      </x:c>
      <x:c r="X10" s="35" t="n">
        <x:f>'Scenario Controls'!$B$15</x:f>
        <x:v>215000</x:v>
      </x:c>
      <x:c r="Y10" s="35" t="n">
        <x:f>'Scenario Controls'!$B$15</x:f>
        <x:v>215000</x:v>
      </x:c>
    </x:row>
    <x:row r="11" ht="15" hidden="0" customHeight="1">
      <x:c r="A11" s="34" t="str">
        <x:v>Sales &amp; Marketing</x:v>
      </x:c>
      <x:c r="B11" s="35" t="n">
        <x:f>'Scenario Controls'!$B$16+'Revenue Forecast'!B12</x:f>
        <x:v>217700</x:v>
      </x:c>
      <x:c r="C11" s="35" t="n">
        <x:f>'Scenario Controls'!$B$16+'Revenue Forecast'!C12</x:f>
        <x:v>217700</x:v>
      </x:c>
      <x:c r="D11" s="35" t="n">
        <x:f>'Scenario Controls'!$B$16+'Revenue Forecast'!D12</x:f>
        <x:v>217700</x:v>
      </x:c>
      <x:c r="E11" s="35" t="n">
        <x:f>'Scenario Controls'!$B$16+'Revenue Forecast'!E12</x:f>
        <x:v>217700</x:v>
      </x:c>
      <x:c r="F11" s="35" t="n">
        <x:f>'Scenario Controls'!$B$16+'Revenue Forecast'!F12</x:f>
        <x:v>217700</x:v>
      </x:c>
      <x:c r="G11" s="35" t="n">
        <x:f>'Scenario Controls'!$B$16+'Revenue Forecast'!G12</x:f>
        <x:v>217700</x:v>
      </x:c>
      <x:c r="H11" s="35" t="n">
        <x:f>'Scenario Controls'!$B$16+'Revenue Forecast'!H12</x:f>
        <x:v>217700</x:v>
      </x:c>
      <x:c r="I11" s="35" t="n">
        <x:f>'Scenario Controls'!$B$16+'Revenue Forecast'!I12</x:f>
        <x:v>217700</x:v>
      </x:c>
      <x:c r="J11" s="35" t="n">
        <x:f>'Scenario Controls'!$B$16+'Revenue Forecast'!J12</x:f>
        <x:v>217700</x:v>
      </x:c>
      <x:c r="K11" s="35" t="n">
        <x:f>'Scenario Controls'!$B$16+'Revenue Forecast'!K12</x:f>
        <x:v>217700</x:v>
      </x:c>
      <x:c r="L11" s="35" t="n">
        <x:f>'Scenario Controls'!$B$16+'Revenue Forecast'!L12</x:f>
        <x:v>217700</x:v>
      </x:c>
      <x:c r="M11" s="35" t="n">
        <x:f>'Scenario Controls'!$B$16+'Revenue Forecast'!M12</x:f>
        <x:v>217700</x:v>
      </x:c>
      <x:c r="N11" s="35" t="n">
        <x:f>'Scenario Controls'!$B$16+'Revenue Forecast'!N12</x:f>
        <x:v>217700</x:v>
      </x:c>
      <x:c r="O11" s="35" t="n">
        <x:f>'Scenario Controls'!$B$16+'Revenue Forecast'!O12</x:f>
        <x:v>217700</x:v>
      </x:c>
      <x:c r="P11" s="35" t="n">
        <x:f>'Scenario Controls'!$B$16+'Revenue Forecast'!P12</x:f>
        <x:v>217700</x:v>
      </x:c>
      <x:c r="Q11" s="35" t="n">
        <x:f>'Scenario Controls'!$B$16+'Revenue Forecast'!Q12</x:f>
        <x:v>217700</x:v>
      </x:c>
      <x:c r="R11" s="35" t="n">
        <x:f>'Scenario Controls'!$B$16+'Revenue Forecast'!R12</x:f>
        <x:v>217700</x:v>
      </x:c>
      <x:c r="S11" s="35" t="n">
        <x:f>'Scenario Controls'!$B$16+'Revenue Forecast'!S12</x:f>
        <x:v>217700</x:v>
      </x:c>
      <x:c r="T11" s="35" t="n">
        <x:f>'Scenario Controls'!$B$16+'Revenue Forecast'!T12</x:f>
        <x:v>217700</x:v>
      </x:c>
      <x:c r="U11" s="35" t="n">
        <x:f>'Scenario Controls'!$B$16+'Revenue Forecast'!U12</x:f>
        <x:v>217700</x:v>
      </x:c>
      <x:c r="V11" s="35" t="n">
        <x:f>'Scenario Controls'!$B$16+'Revenue Forecast'!V12</x:f>
        <x:v>217700</x:v>
      </x:c>
      <x:c r="W11" s="35" t="n">
        <x:f>'Scenario Controls'!$B$16+'Revenue Forecast'!W12</x:f>
        <x:v>217700</x:v>
      </x:c>
      <x:c r="X11" s="35" t="n">
        <x:f>'Scenario Controls'!$B$16+'Revenue Forecast'!X12</x:f>
        <x:v>217700</x:v>
      </x:c>
      <x:c r="Y11" s="35" t="n">
        <x:f>'Scenario Controls'!$B$16+'Revenue Forecast'!Y12</x:f>
        <x:v>217700</x:v>
      </x:c>
    </x:row>
    <x:row r="12" ht="15" hidden="0" customHeight="1">
      <x:c r="A12" s="34" t="str">
        <x:v>Total Opex</x:v>
      </x:c>
      <x:c r="B12" s="35" t="n">
        <x:f>SUM(B9:B11)</x:f>
        <x:v>1041700</x:v>
      </x:c>
      <x:c r="C12" s="35" t="n">
        <x:f>SUM(C9:C11)</x:f>
        <x:v>1070700</x:v>
      </x:c>
      <x:c r="D12" s="35" t="n">
        <x:f>SUM(D9:D11)</x:f>
        <x:v>1114200</x:v>
      </x:c>
      <x:c r="E12" s="35" t="n">
        <x:f>SUM(E9:E11)</x:f>
        <x:v>1157700</x:v>
      </x:c>
      <x:c r="F12" s="35" t="n">
        <x:f>SUM(F9:F11)</x:f>
        <x:v>1201200</x:v>
      </x:c>
      <x:c r="G12" s="35" t="n">
        <x:f>SUM(G9:G11)</x:f>
        <x:v>1230200</x:v>
      </x:c>
      <x:c r="H12" s="35" t="n">
        <x:f>SUM(H9:H11)</x:f>
        <x:v>1288200</x:v>
      </x:c>
      <x:c r="I12" s="35" t="n">
        <x:f>SUM(I9:I11)</x:f>
        <x:v>1317200</x:v>
      </x:c>
      <x:c r="J12" s="35" t="n">
        <x:f>SUM(J9:J11)</x:f>
        <x:v>1360700</x:v>
      </x:c>
      <x:c r="K12" s="35" t="n">
        <x:f>SUM(K9:K11)</x:f>
        <x:v>1404200</x:v>
      </x:c>
      <x:c r="L12" s="35" t="n">
        <x:f>SUM(L9:L11)</x:f>
        <x:v>1447700</x:v>
      </x:c>
      <x:c r="M12" s="35" t="n">
        <x:f>SUM(M9:M11)</x:f>
        <x:v>1476700</x:v>
      </x:c>
      <x:c r="N12" s="35" t="n">
        <x:f>SUM(N9:N11)</x:f>
        <x:v>1534700</x:v>
      </x:c>
      <x:c r="O12" s="35" t="n">
        <x:f>SUM(O9:O11)</x:f>
        <x:v>1563700</x:v>
      </x:c>
      <x:c r="P12" s="35" t="n">
        <x:f>SUM(P9:P11)</x:f>
        <x:v>1607200</x:v>
      </x:c>
      <x:c r="Q12" s="35" t="n">
        <x:f>SUM(Q9:Q11)</x:f>
        <x:v>1650700</x:v>
      </x:c>
      <x:c r="R12" s="35" t="n">
        <x:f>SUM(R9:R11)</x:f>
        <x:v>1694200</x:v>
      </x:c>
      <x:c r="S12" s="35" t="n">
        <x:f>SUM(S9:S11)</x:f>
        <x:v>1723200</x:v>
      </x:c>
      <x:c r="T12" s="35" t="n">
        <x:f>SUM(T9:T11)</x:f>
        <x:v>1781200</x:v>
      </x:c>
      <x:c r="U12" s="35" t="n">
        <x:f>SUM(U9:U11)</x:f>
        <x:v>1810200</x:v>
      </x:c>
      <x:c r="V12" s="35" t="n">
        <x:f>SUM(V9:V11)</x:f>
        <x:v>1853700</x:v>
      </x:c>
      <x:c r="W12" s="35" t="n">
        <x:f>SUM(W9:W11)</x:f>
        <x:v>1897200</x:v>
      </x:c>
      <x:c r="X12" s="35" t="n">
        <x:f>SUM(X9:X11)</x:f>
        <x:v>1940700</x:v>
      </x:c>
      <x:c r="Y12" s="35" t="n">
        <x:f>SUM(Y9:Y11)</x:f>
        <x:v>1969700</x:v>
      </x:c>
    </x:row>
    <x:row r="13" ht="15" hidden="0" customHeight="1">
      <x:c r="A13" s="34" t="str">
        <x:v>Opex per Customer</x:v>
      </x:c>
      <x:c r="B13" s="35" t="n">
        <x:f>IFERROR(B12/'Revenue Forecast'!B7,0)</x:f>
        <x:v>1241.5379481311977</x:v>
      </x:c>
      <x:c r="C13" s="35" t="n">
        <x:f>IFERROR(C12/'Revenue Forecast'!C7,0)</x:f>
        <x:v>1248.5614780617009</x:v>
      </x:c>
      <x:c r="D13" s="35" t="n">
        <x:f>IFERROR(D12/'Revenue Forecast'!D7,0)</x:f>
        <x:v>1272.592503991179</x:v>
      </x:c>
      <x:c r="E13" s="35" t="n">
        <x:f>IFERROR(E12/'Revenue Forecast'!E7,0)</x:f>
        <x:v>1296.3867093108838</x:v>
      </x:c>
      <x:c r="F13" s="35" t="n">
        <x:f>IFERROR(F12/'Revenue Forecast'!F7,0)</x:f>
        <x:v>1319.9767981837647</x:v>
      </x:c>
      <x:c r="G13" s="35" t="n">
        <x:f>IFERROR(G12/'Revenue Forecast'!G7,0)</x:f>
        <x:v>1327.7418261904315</x:v>
      </x:c>
      <x:c r="H13" s="35" t="n">
        <x:f>IFERROR(H12/'Revenue Forecast'!H7,0)</x:f>
        <x:v>1366.6562470733434</x:v>
      </x:c>
      <x:c r="I13" s="35" t="n">
        <x:f>IFERROR(I12/'Revenue Forecast'!I7,0)</x:f>
        <x:v>1374.6608786081752</x:v>
      </x:c>
      <x:c r="J13" s="35" t="n">
        <x:f>IFERROR(J12/'Revenue Forecast'!J7,0)</x:f>
        <x:v>1397.9262706776815</x:v>
      </x:c>
      <x:c r="K13" s="35" t="n">
        <x:f>IFERROR(K12/'Revenue Forecast'!K7,0)</x:f>
        <x:v>1421.0882241550255</x:v>
      </x:c>
      <x:c r="L13" s="35" t="n">
        <x:f>IFERROR(L12/'Revenue Forecast'!L7,0)</x:f>
        <x:v>1444.163613020529</x:v>
      </x:c>
      <x:c r="M13" s="35" t="n">
        <x:f>IFERROR(M12/'Revenue Forecast'!M7,0)</x:f>
        <x:v>1452.9012177428333</x:v>
      </x:c>
      <x:c r="N13" s="35" t="n">
        <x:f>IFERROR(N12/'Revenue Forecast'!N7,0)</x:f>
        <x:v>1490.1135174996828</x:v>
      </x:c>
      <x:c r="O13" s="35" t="n">
        <x:f>IFERROR(O12/'Revenue Forecast'!O7,0)</x:f>
        <x:v>1499.1126342381592</x:v>
      </x:c>
      <x:c r="P13" s="35" t="n">
        <x:f>IFERROR(P12/'Revenue Forecast'!P7,0)</x:f>
        <x:v>1522.1464350069712</x:v>
      </x:c>
      <x:c r="Q13" s="35" t="n">
        <x:f>IFERROR(Q12/'Revenue Forecast'!Q7,0)</x:f>
        <x:v>1545.1466735814738</x:v>
      </x:c>
      <x:c r="R13" s="35" t="n">
        <x:f>IFERROR(R12/'Revenue Forecast'!R7,0)</x:f>
        <x:v>1568.1228289957035</x:v>
      </x:c>
      <x:c r="S13" s="35" t="n">
        <x:f>IFERROR(S12/'Revenue Forecast'!S7,0)</x:f>
        <x:v>1577.8068945814623</x:v>
      </x:c>
      <x:c r="T13" s="35" t="n">
        <x:f>IFERROR(T12/'Revenue Forecast'!T7,0)</x:f>
        <x:v>1614.03636606564</x:v>
      </x:c>
      <x:c r="U13" s="35" t="n">
        <x:f>IFERROR(U12/'Revenue Forecast'!U7,0)</x:f>
        <x:v>1623.9801923800233</x:v>
      </x:c>
      <x:c r="V13" s="35" t="n">
        <x:f>IFERROR(V12/'Revenue Forecast'!V7,0)</x:f>
        <x:v>1647.0627338371205</x:v>
      </x:c>
      <x:c r="W13" s="35" t="n">
        <x:f>IFERROR(W12/'Revenue Forecast'!W7,0)</x:f>
        <x:v>1670.1509644870305</x:v>
      </x:c>
      <x:c r="X13" s="35" t="n">
        <x:f>IFERROR(X12/'Revenue Forecast'!X7,0)</x:f>
        <x:v>1693.2504884034872</x:v>
      </x:c>
      <x:c r="Y13" s="35" t="n">
        <x:f>IFERROR(Y12/'Revenue Forecast'!Y7,0)</x:f>
        <x:v>1703.823657923067</x:v>
      </x:c>
    </x:row>
  </x:sheetData>
  <x:mergeCells>
    <x:mergeCell ref="A1:Y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15" hidden="0" customHeight="1">
      <x:c r="A1" s="20" t="str">
        <x:v>Cash Flow</x:v>
      </x:c>
      <x:c r="B1" s="20" t="str">
        <x:v>Cash Flow</x:v>
      </x:c>
      <x:c r="C1" s="20" t="str">
        <x:v>Cash Flow</x:v>
      </x:c>
      <x:c r="D1" s="20" t="str">
        <x:v>Cash Flow</x:v>
      </x:c>
      <x:c r="E1" s="20" t="str">
        <x:v>Cash Flow</x:v>
      </x:c>
      <x:c r="F1" s="20" t="str">
        <x:v>Cash Flow</x:v>
      </x:c>
      <x:c r="G1" s="20" t="str">
        <x:v>Cash Flow</x:v>
      </x:c>
      <x:c r="H1" s="20" t="str">
        <x:v>Cash Flow</x:v>
      </x:c>
      <x:c r="I1" s="20" t="str">
        <x:v>Cash Flow</x:v>
      </x:c>
      <x:c r="J1" s="20" t="str">
        <x:v>Cash Flow</x:v>
      </x:c>
      <x:c r="K1" s="20" t="str">
        <x:v>Cash Flow</x:v>
      </x:c>
      <x:c r="L1" s="20" t="str">
        <x:v>Cash Flow</x:v>
      </x:c>
      <x:c r="M1" s="20" t="str">
        <x:v>Cash Flow</x:v>
      </x:c>
      <x:c r="N1" s="20" t="str">
        <x:v>Cash Flow</x:v>
      </x:c>
      <x:c r="O1" s="20" t="str">
        <x:v>Cash Flow</x:v>
      </x:c>
      <x:c r="P1" s="20" t="str">
        <x:v>Cash Flow</x:v>
      </x:c>
      <x:c r="Q1" s="20" t="str">
        <x:v>Cash Flow</x:v>
      </x:c>
      <x:c r="R1" s="20" t="str">
        <x:v>Cash Flow</x:v>
      </x:c>
      <x:c r="S1" s="20" t="str">
        <x:v>Cash Flow</x:v>
      </x:c>
      <x:c r="T1" s="20" t="str">
        <x:v>Cash Flow</x:v>
      </x:c>
      <x:c r="U1" s="20" t="str">
        <x:v>Cash Flow</x:v>
      </x:c>
      <x:c r="V1" s="20" t="str">
        <x:v>Cash Flow</x:v>
      </x:c>
      <x:c r="W1" s="20" t="str">
        <x:v>Cash Flow</x:v>
      </x:c>
      <x:c r="X1" s="20" t="str">
        <x:v>Cash Flow</x:v>
      </x:c>
      <x:c r="Y1" s="20" t="str">
        <x:v>Cash Flow</x:v>
      </x:c>
    </x:row>
    <x:row r="2" ht="15" hidden="0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</x:row>
    <x:row r="3" ht="15" hidden="0" customHeight="1">
      <x:c r="A3" s="27" t="str">
        <x:v>Month</x:v>
      </x:c>
      <x:c r="B3" s="46" t="n">
        <x:v>46023</x:v>
      </x:c>
      <x:c r="C3" s="46" t="n">
        <x:v>46054</x:v>
      </x:c>
      <x:c r="D3" s="46" t="n">
        <x:v>46082</x:v>
      </x:c>
      <x:c r="E3" s="46" t="n">
        <x:v>46113</x:v>
      </x:c>
      <x:c r="F3" s="46" t="n">
        <x:v>46143</x:v>
      </x:c>
      <x:c r="G3" s="46" t="n">
        <x:v>46174</x:v>
      </x:c>
      <x:c r="H3" s="46" t="n">
        <x:v>46204</x:v>
      </x:c>
      <x:c r="I3" s="46" t="n">
        <x:v>46235</x:v>
      </x:c>
      <x:c r="J3" s="46" t="n">
        <x:v>46266</x:v>
      </x:c>
      <x:c r="K3" s="46" t="n">
        <x:v>46296</x:v>
      </x:c>
      <x:c r="L3" s="46" t="n">
        <x:v>46327</x:v>
      </x:c>
      <x:c r="M3" s="46" t="n">
        <x:v>46357</x:v>
      </x:c>
      <x:c r="N3" s="46" t="n">
        <x:v>46388</x:v>
      </x:c>
      <x:c r="O3" s="46" t="n">
        <x:v>46419</x:v>
      </x:c>
      <x:c r="P3" s="46" t="n">
        <x:v>46447</x:v>
      </x:c>
      <x:c r="Q3" s="46" t="n">
        <x:v>46478</x:v>
      </x:c>
      <x:c r="R3" s="46" t="n">
        <x:v>46508</x:v>
      </x:c>
      <x:c r="S3" s="46" t="n">
        <x:v>46539</x:v>
      </x:c>
      <x:c r="T3" s="46" t="n">
        <x:v>46569</x:v>
      </x:c>
      <x:c r="U3" s="46" t="n">
        <x:v>46600</x:v>
      </x:c>
      <x:c r="V3" s="46" t="n">
        <x:v>46631</x:v>
      </x:c>
      <x:c r="W3" s="46" t="n">
        <x:v>46661</x:v>
      </x:c>
      <x:c r="X3" s="46" t="n">
        <x:v>46692</x:v>
      </x:c>
      <x:c r="Y3" s="47" t="n">
        <x:v>46722</x:v>
      </x:c>
    </x:row>
    <x:row r="4" ht="15" hidden="0" customHeight="1">
      <x:c r="A4" s="34" t="str">
        <x:v>MRR</x:v>
      </x:c>
      <x:c r="B4" s="35" t="n">
        <x:f>'Revenue Forecast'!B9</x:f>
        <x:v>793429.7856</x:v>
      </x:c>
      <x:c r="C4" s="35" t="n">
        <x:f>'Revenue Forecast'!C9</x:f>
        <x:v>815796.2153928193</x:v>
      </x:c>
      <x:c r="D4" s="35" t="n">
        <x:f>'Revenue Forecast'!D9</x:f>
        <x:v>837906.5572576711</x:v>
      </x:c>
      <x:c r="E4" s="35" t="n">
        <x:f>'Revenue Forecast'!E9</x:f>
        <x:v>859767.9265382692</x:v>
      </x:c>
      <x:c r="F4" s="35" t="n">
        <x:f>'Revenue Forecast'!F9</x:f>
        <x:v>881387.2894757063</x:v>
      </x:c>
      <x:c r="G4" s="35" t="n">
        <x:f>'Revenue Forecast'!G9</x:f>
        <x:v>902771.4665655438</x:v>
      </x:c>
      <x:c r="H4" s="35" t="n">
        <x:f>'Revenue Forecast'!H9</x:f>
        <x:v>923927.1358407915</x:v>
      </x:c>
      <x:c r="I4" s="35" t="n">
        <x:f>'Revenue Forecast'!I9</x:f>
        <x:v>944860.8360824219</x:v>
      </x:c>
      <x:c r="J4" s="35" t="n">
        <x:f>'Revenue Forecast'!J9</x:f>
        <x:v>965578.9699590296</x:v>
      </x:c>
      <x:c r="K4" s="35" t="n">
        <x:f>'Revenue Forecast'!K9</x:f>
        <x:v>986087.8070972059</x:v>
      </x:c>
      <x:c r="L4" s="35" t="n">
        <x:f>'Revenue Forecast'!L9</x:f>
        <x:v>1006393.4870841685</x:v>
      </x:c>
      <x:c r="M4" s="35" t="n">
        <x:f>'Revenue Forecast'!M9</x:f>
        <x:v>1026502.0224041484</x:v>
      </x:c>
      <x:c r="N4" s="35" t="n">
        <x:f>'Revenue Forecast'!N9</x:f>
        <x:v>1046419.3013100048</x:v>
      </x:c>
      <x:c r="O4" s="35" t="n">
        <x:f>'Revenue Forecast'!O9</x:f>
        <x:v>1066151.0906315073</x:v>
      </x:c>
      <x:c r="P4" s="35" t="n">
        <x:f>'Revenue Forecast'!P9</x:f>
        <x:v>1085703.0385216882</x:v>
      </x:c>
      <x:c r="Q4" s="35" t="n">
        <x:f>'Revenue Forecast'!Q9</x:f>
        <x:v>1105080.6771426436</x:v>
      </x:c>
      <x:c r="R4" s="35" t="n">
        <x:f>'Revenue Forecast'!R9</x:f>
        <x:v>1124289.425292123</x:v>
      </x:c>
      <x:c r="S4" s="35" t="n">
        <x:f>'Revenue Forecast'!S9</x:f>
        <x:v>1143334.5909722273</x:v>
      </x:c>
      <x:c r="T4" s="35" t="n">
        <x:f>'Revenue Forecast'!T9</x:f>
        <x:v>1162221.3739014943</x:v>
      </x:c>
      <x:c r="U4" s="35" t="n">
        <x:f>'Revenue Forecast'!U9</x:f>
        <x:v>1180954.8679716373</x:v>
      </x:c>
      <x:c r="V4" s="35" t="n">
        <x:f>'Revenue Forecast'!V9</x:f>
        <x:v>1199540.0636501538</x:v>
      </x:c>
      <x:c r="W4" s="35" t="n">
        <x:f>'Revenue Forecast'!W9</x:f>
        <x:v>1217981.8503300196</x:v>
      </x:c>
      <x:c r="X4" s="35" t="n">
        <x:f>'Revenue Forecast'!X9</x:f>
        <x:v>1236285.018627631</x:v>
      </x:c>
      <x:c r="Y4" s="35" t="n">
        <x:f>'Revenue Forecast'!Y9</x:f>
        <x:v>1254454.2626301553</x:v>
      </x:c>
    </x:row>
    <x:row r="5" ht="15" hidden="0" customHeight="1">
      <x:c r="A5" s="34" t="str">
        <x:v>Gross Profit</x:v>
      </x:c>
      <x:c r="B5" s="35" t="n">
        <x:f>B4*'Scenario Controls'!$B$12</x:f>
        <x:v>618875.232768</x:v>
      </x:c>
      <x:c r="C5" s="35" t="n">
        <x:f>C4*'Scenario Controls'!$B$12</x:f>
        <x:v>636321.0480063991</x:v>
      </x:c>
      <x:c r="D5" s="35" t="n">
        <x:f>D4*'Scenario Controls'!$B$12</x:f>
        <x:v>653567.1146609836</x:v>
      </x:c>
      <x:c r="E5" s="35" t="n">
        <x:f>E4*'Scenario Controls'!$B$12</x:f>
        <x:v>670618.98269985</x:v>
      </x:c>
      <x:c r="F5" s="35" t="n">
        <x:f>F4*'Scenario Controls'!$B$12</x:f>
        <x:v>687482.0857910509</x:v>
      </x:c>
      <x:c r="G5" s="35" t="n">
        <x:f>G4*'Scenario Controls'!$B$12</x:f>
        <x:v>704161.7439211241</x:v>
      </x:c>
      <x:c r="H5" s="35" t="n">
        <x:f>H4*'Scenario Controls'!$B$12</x:f>
        <x:v>720663.1659558174</x:v>
      </x:c>
      <x:c r="I5" s="35" t="n">
        <x:f>I4*'Scenario Controls'!$B$12</x:f>
        <x:v>736991.4521442892</x:v>
      </x:c>
      <x:c r="J5" s="35" t="n">
        <x:f>J4*'Scenario Controls'!$B$12</x:f>
        <x:v>753151.5965680431</x:v>
      </x:c>
      <x:c r="K5" s="35" t="n">
        <x:f>K4*'Scenario Controls'!$B$12</x:f>
        <x:v>769148.4895358207</x:v>
      </x:c>
      <x:c r="L5" s="35" t="n">
        <x:f>L4*'Scenario Controls'!$B$12</x:f>
        <x:v>784986.9199256514</x:v>
      </x:c>
      <x:c r="M5" s="35" t="n">
        <x:f>M4*'Scenario Controls'!$B$12</x:f>
        <x:v>800671.5774752358</x:v>
      </x:c>
      <x:c r="N5" s="35" t="n">
        <x:f>N4*'Scenario Controls'!$B$12</x:f>
        <x:v>816207.0550218037</x:v>
      </x:c>
      <x:c r="O5" s="35" t="n">
        <x:f>O4*'Scenario Controls'!$B$12</x:f>
        <x:v>831597.8506925758</x:v>
      </x:c>
      <x:c r="P5" s="35" t="n">
        <x:f>P4*'Scenario Controls'!$B$12</x:f>
        <x:v>846848.3700469168</x:v>
      </x:c>
      <x:c r="Q5" s="35" t="n">
        <x:f>Q4*'Scenario Controls'!$B$12</x:f>
        <x:v>861962.928171262</x:v>
      </x:c>
      <x:c r="R5" s="35" t="n">
        <x:f>R4*'Scenario Controls'!$B$12</x:f>
        <x:v>876945.751727856</x:v>
      </x:c>
      <x:c r="S5" s="35" t="n">
        <x:f>S4*'Scenario Controls'!$B$12</x:f>
        <x:v>891800.9809583373</x:v>
      </x:c>
      <x:c r="T5" s="35" t="n">
        <x:f>T4*'Scenario Controls'!$B$12</x:f>
        <x:v>906532.6716431656</x:v>
      </x:c>
      <x:c r="U5" s="35" t="n">
        <x:f>U4*'Scenario Controls'!$B$12</x:f>
        <x:v>921144.7970178771</x:v>
      </x:c>
      <x:c r="V5" s="35" t="n">
        <x:f>V4*'Scenario Controls'!$B$12</x:f>
        <x:v>935641.24964712</x:v>
      </x:c>
      <x:c r="W5" s="35" t="n">
        <x:f>W4*'Scenario Controls'!$B$12</x:f>
        <x:v>950025.8432574153</x:v>
      </x:c>
      <x:c r="X5" s="35" t="n">
        <x:f>X4*'Scenario Controls'!$B$12</x:f>
        <x:v>964302.3145295522</x:v>
      </x:c>
      <x:c r="Y5" s="35" t="n">
        <x:f>Y4*'Scenario Controls'!$B$12</x:f>
        <x:v>978474.3248515212</x:v>
      </x:c>
    </x:row>
    <x:row r="6" ht="15" hidden="0" customHeight="1">
      <x:c r="A6" s="34" t="str">
        <x:v>Total Opex</x:v>
      </x:c>
      <x:c r="B6" s="35" t="n">
        <x:f>'Expense Forecast'!B12</x:f>
        <x:v>1041700</x:v>
      </x:c>
      <x:c r="C6" s="35" t="n">
        <x:f>'Expense Forecast'!C12</x:f>
        <x:v>1070700</x:v>
      </x:c>
      <x:c r="D6" s="35" t="n">
        <x:f>'Expense Forecast'!D12</x:f>
        <x:v>1114200</x:v>
      </x:c>
      <x:c r="E6" s="35" t="n">
        <x:f>'Expense Forecast'!E12</x:f>
        <x:v>1157700</x:v>
      </x:c>
      <x:c r="F6" s="35" t="n">
        <x:f>'Expense Forecast'!F12</x:f>
        <x:v>1201200</x:v>
      </x:c>
      <x:c r="G6" s="35" t="n">
        <x:f>'Expense Forecast'!G12</x:f>
        <x:v>1230200</x:v>
      </x:c>
      <x:c r="H6" s="35" t="n">
        <x:f>'Expense Forecast'!H12</x:f>
        <x:v>1288200</x:v>
      </x:c>
      <x:c r="I6" s="35" t="n">
        <x:f>'Expense Forecast'!I12</x:f>
        <x:v>1317200</x:v>
      </x:c>
      <x:c r="J6" s="35" t="n">
        <x:f>'Expense Forecast'!J12</x:f>
        <x:v>1360700</x:v>
      </x:c>
      <x:c r="K6" s="35" t="n">
        <x:f>'Expense Forecast'!K12</x:f>
        <x:v>1404200</x:v>
      </x:c>
      <x:c r="L6" s="35" t="n">
        <x:f>'Expense Forecast'!L12</x:f>
        <x:v>1447700</x:v>
      </x:c>
      <x:c r="M6" s="35" t="n">
        <x:f>'Expense Forecast'!M12</x:f>
        <x:v>1476700</x:v>
      </x:c>
      <x:c r="N6" s="35" t="n">
        <x:f>'Expense Forecast'!N12</x:f>
        <x:v>1534700</x:v>
      </x:c>
      <x:c r="O6" s="35" t="n">
        <x:f>'Expense Forecast'!O12</x:f>
        <x:v>1563700</x:v>
      </x:c>
      <x:c r="P6" s="35" t="n">
        <x:f>'Expense Forecast'!P12</x:f>
        <x:v>1607200</x:v>
      </x:c>
      <x:c r="Q6" s="35" t="n">
        <x:f>'Expense Forecast'!Q12</x:f>
        <x:v>1650700</x:v>
      </x:c>
      <x:c r="R6" s="35" t="n">
        <x:f>'Expense Forecast'!R12</x:f>
        <x:v>1694200</x:v>
      </x:c>
      <x:c r="S6" s="35" t="n">
        <x:f>'Expense Forecast'!S12</x:f>
        <x:v>1723200</x:v>
      </x:c>
      <x:c r="T6" s="35" t="n">
        <x:f>'Expense Forecast'!T12</x:f>
        <x:v>1781200</x:v>
      </x:c>
      <x:c r="U6" s="35" t="n">
        <x:f>'Expense Forecast'!U12</x:f>
        <x:v>1810200</x:v>
      </x:c>
      <x:c r="V6" s="35" t="n">
        <x:f>'Expense Forecast'!V12</x:f>
        <x:v>1853700</x:v>
      </x:c>
      <x:c r="W6" s="35" t="n">
        <x:f>'Expense Forecast'!W12</x:f>
        <x:v>1897200</x:v>
      </x:c>
      <x:c r="X6" s="35" t="n">
        <x:f>'Expense Forecast'!X12</x:f>
        <x:v>1940700</x:v>
      </x:c>
      <x:c r="Y6" s="35" t="n">
        <x:f>'Expense Forecast'!Y12</x:f>
        <x:v>1969700</x:v>
      </x:c>
    </x:row>
    <x:row r="7" ht="15" hidden="0" customHeight="1">
      <x:c r="A7" s="34" t="str">
        <x:v>Net Burn</x:v>
      </x:c>
      <x:c r="B7" s="35" t="n">
        <x:f>B6-B5</x:f>
        <x:v>422824.767232</x:v>
      </x:c>
      <x:c r="C7" s="35" t="n">
        <x:f>C6-C5</x:f>
        <x:v>434378.95199360093</x:v>
      </x:c>
      <x:c r="D7" s="35" t="n">
        <x:f>D6-D5</x:f>
        <x:v>460632.88533901644</x:v>
      </x:c>
      <x:c r="E7" s="35" t="n">
        <x:f>E6-E5</x:f>
        <x:v>487081.01730015</x:v>
      </x:c>
      <x:c r="F7" s="35" t="n">
        <x:f>F6-F5</x:f>
        <x:v>513717.9142089491</x:v>
      </x:c>
      <x:c r="G7" s="35" t="n">
        <x:f>G6-G5</x:f>
        <x:v>526038.2560788759</x:v>
      </x:c>
      <x:c r="H7" s="35" t="n">
        <x:f>H6-H5</x:f>
        <x:v>567536.8340441826</x:v>
      </x:c>
      <x:c r="I7" s="35" t="n">
        <x:f>I6-I5</x:f>
        <x:v>580208.5478557108</x:v>
      </x:c>
      <x:c r="J7" s="35" t="n">
        <x:f>J6-J5</x:f>
        <x:v>607548.4034319569</x:v>
      </x:c>
      <x:c r="K7" s="35" t="n">
        <x:f>K6-K5</x:f>
        <x:v>635051.5104641793</x:v>
      </x:c>
      <x:c r="L7" s="35" t="n">
        <x:f>L6-L5</x:f>
        <x:v>662713.0800743486</x:v>
      </x:c>
      <x:c r="M7" s="35" t="n">
        <x:f>M6-M5</x:f>
        <x:v>676028.4225247642</x:v>
      </x:c>
      <x:c r="N7" s="35" t="n">
        <x:f>N6-N5</x:f>
        <x:v>718492.9449781963</x:v>
      </x:c>
      <x:c r="O7" s="35" t="n">
        <x:f>O6-O5</x:f>
        <x:v>732102.1493074242</x:v>
      </x:c>
      <x:c r="P7" s="35" t="n">
        <x:f>P6-P5</x:f>
        <x:v>760351.6299530832</x:v>
      </x:c>
      <x:c r="Q7" s="35" t="n">
        <x:f>Q6-Q5</x:f>
        <x:v>788737.071828738</x:v>
      </x:c>
      <x:c r="R7" s="35" t="n">
        <x:f>R6-R5</x:f>
        <x:v>817254.248272144</x:v>
      </x:c>
      <x:c r="S7" s="35" t="n">
        <x:f>S6-S5</x:f>
        <x:v>831399.0190416627</x:v>
      </x:c>
      <x:c r="T7" s="35" t="n">
        <x:f>T6-T5</x:f>
        <x:v>874667.3283568344</x:v>
      </x:c>
      <x:c r="U7" s="35" t="n">
        <x:f>U6-U5</x:f>
        <x:v>889055.2029821229</x:v>
      </x:c>
      <x:c r="V7" s="35" t="n">
        <x:f>V6-V5</x:f>
        <x:v>918058.75035288</x:v>
      </x:c>
      <x:c r="W7" s="35" t="n">
        <x:f>W6-W5</x:f>
        <x:v>947174.1567425847</x:v>
      </x:c>
      <x:c r="X7" s="35" t="n">
        <x:f>X6-X5</x:f>
        <x:v>976397.6854704478</x:v>
      </x:c>
      <x:c r="Y7" s="35" t="n">
        <x:f>Y6-Y5</x:f>
        <x:v>991225.6751484788</x:v>
      </x:c>
    </x:row>
    <x:row r="8" ht="15" hidden="0" customHeight="1">
      <x:c r="A8" s="34" t="str">
        <x:v>Ending Cash</x:v>
      </x:c>
      <x:c r="B8" s="35" t="n">
        <x:f>'Scenario Controls'!$B$5-B7</x:f>
        <x:v>19577175.232768</x:v>
      </x:c>
      <x:c r="C8" s="35" t="n">
        <x:f>B8-C7</x:f>
        <x:v>19142796.2807744</x:v>
      </x:c>
      <x:c r="D8" s="35" t="n">
        <x:f>C8-D7</x:f>
        <x:v>18682163.39543538</x:v>
      </x:c>
      <x:c r="E8" s="35" t="n">
        <x:f>D8-E7</x:f>
        <x:v>18195082.37813523</x:v>
      </x:c>
      <x:c r="F8" s="35" t="n">
        <x:f>E8-F7</x:f>
        <x:v>17681364.46392628</x:v>
      </x:c>
      <x:c r="G8" s="35" t="n">
        <x:f>F8-G7</x:f>
        <x:v>17155326.207847405</x:v>
      </x:c>
      <x:c r="H8" s="35" t="n">
        <x:f>G8-H7</x:f>
        <x:v>16587789.373803223</x:v>
      </x:c>
      <x:c r="I8" s="35" t="n">
        <x:f>H8-I7</x:f>
        <x:v>16007580.825947512</x:v>
      </x:c>
      <x:c r="J8" s="35" t="n">
        <x:f>I8-J7</x:f>
        <x:v>15400032.422515554</x:v>
      </x:c>
      <x:c r="K8" s="35" t="n">
        <x:f>J8-K7</x:f>
        <x:v>14764980.912051376</x:v>
      </x:c>
      <x:c r="L8" s="35" t="n">
        <x:f>K8-L7</x:f>
        <x:v>14102267.831977027</x:v>
      </x:c>
      <x:c r="M8" s="35" t="n">
        <x:f>L8-M7</x:f>
        <x:v>13426239.409452263</x:v>
      </x:c>
      <x:c r="N8" s="35" t="n">
        <x:f>M8-N7</x:f>
        <x:v>12707746.464474067</x:v>
      </x:c>
      <x:c r="O8" s="35" t="n">
        <x:f>N8-O7</x:f>
        <x:v>11975644.315166643</x:v>
      </x:c>
      <x:c r="P8" s="35" t="n">
        <x:f>O8-P7</x:f>
        <x:v>11215292.68521356</x:v>
      </x:c>
      <x:c r="Q8" s="35" t="n">
        <x:f>P8-Q7</x:f>
        <x:v>10426555.613384822</x:v>
      </x:c>
      <x:c r="R8" s="35" t="n">
        <x:f>Q8-R7</x:f>
        <x:v>9609301.36511268</x:v>
      </x:c>
      <x:c r="S8" s="35" t="n">
        <x:f>R8-S7</x:f>
        <x:v>8777902.346071016</x:v>
      </x:c>
      <x:c r="T8" s="35" t="n">
        <x:f>S8-T7</x:f>
        <x:v>7903235.017714182</x:v>
      </x:c>
      <x:c r="U8" s="35" t="n">
        <x:f>T8-U7</x:f>
        <x:v>7014179.814732059</x:v>
      </x:c>
      <x:c r="V8" s="35" t="n">
        <x:f>U8-V7</x:f>
        <x:v>6096121.064379179</x:v>
      </x:c>
      <x:c r="W8" s="35" t="n">
        <x:f>V8-W7</x:f>
        <x:v>5148946.907636594</x:v>
      </x:c>
      <x:c r="X8" s="35" t="n">
        <x:f>W8-X7</x:f>
        <x:v>4172549.222166146</x:v>
      </x:c>
      <x:c r="Y8" s="35" t="n">
        <x:f>X8-Y7</x:f>
        <x:v>3181323.5470176674</x:v>
      </x:c>
    </x:row>
    <x:row r="9" ht="15" hidden="0" customHeight="1">
      <x:c r="A9" s="34" t="str">
        <x:v>Runway (Months)</x:v>
      </x:c>
      <x:c r="B9" s="48" t="n">
        <x:f>IF(B7&gt;0,B8/B7,"Cash-flow positive")</x:f>
        <x:v>46.30091884382493</x:v>
      </x:c>
      <x:c r="C9" s="48" t="n">
        <x:f>IF(C7&gt;0,C8/C7,"Cash-flow positive")</x:f>
        <x:v>44.069345885470995</x:v>
      </x:c>
      <x:c r="D9" s="48" t="n">
        <x:f>IF(D7&gt;0,D8/D7,"Cash-flow positive")</x:f>
        <x:v>40.55759801362356</x:v>
      </x:c>
      <x:c r="E9" s="48" t="n">
        <x:f>IF(E7&gt;0,E8/E7,"Cash-flow positive")</x:f>
        <x:v>37.35535102350955</x:v>
      </x:c>
      <x:c r="F9" s="48" t="n">
        <x:f>IF(F7&gt;0,F8/F7,"Cash-flow positive")</x:f>
        <x:v>34.41843076691809</x:v>
      </x:c>
      <x:c r="G9" s="48" t="n">
        <x:f>IF(G7&gt;0,G8/G7,"Cash-flow positive")</x:f>
        <x:v>32.61231670815037</x:v>
      </x:c>
      <x:c r="H9" s="48" t="n">
        <x:f>IF(H7&gt;0,H8/H7,"Cash-flow positive")</x:f>
        <x:v>29.227687753059335</x:v>
      </x:c>
      <x:c r="I9" s="48" t="n">
        <x:f>IF(I7&gt;0,I8/I7,"Cash-flow positive")</x:f>
        <x:v>27.589357111519764</x:v>
      </x:c>
      <x:c r="J9" s="48" t="n">
        <x:f>IF(J7&gt;0,J8/J7,"Cash-flow positive")</x:f>
        <x:v>25.347827984606496</x:v>
      </x:c>
      <x:c r="K9" s="48" t="n">
        <x:f>IF(K7&gt;0,K8/K7,"Cash-flow positive")</x:f>
        <x:v>23.250052426864055</x:v>
      </x:c>
      <x:c r="L9" s="48" t="n">
        <x:f>IF(L7&gt;0,L8/L7,"Cash-flow positive")</x:f>
        <x:v>21.2795978470727</x:v>
      </x:c>
      <x:c r="M9" s="48" t="n">
        <x:f>IF(M7&gt;0,M8/M7,"Cash-flow positive")</x:f>
        <x:v>19.860465865191394</x:v>
      </x:c>
      <x:c r="N9" s="48" t="n">
        <x:f>IF(N7&gt;0,N8/N7,"Cash-flow positive")</x:f>
        <x:v>17.686668398476343</x:v>
      </x:c>
      <x:c r="O9" s="48" t="n">
        <x:f>IF(O7&gt;0,O8/O7,"Cash-flow positive")</x:f>
        <x:v>16.357887115200686</x:v>
      </x:c>
      <x:c r="P9" s="48" t="n">
        <x:f>IF(P7&gt;0,P8/P7,"Cash-flow positive")</x:f>
        <x:v>14.75013959778792</x:v>
      </x:c>
      <x:c r="Q9" s="48" t="n">
        <x:f>IF(Q7&gt;0,Q8/Q7,"Cash-flow positive")</x:f>
        <x:v>13.219304614667315</x:v>
      </x:c>
      <x:c r="R9" s="48" t="n">
        <x:f>IF(R7&gt;0,R8/R7,"Cash-flow positive")</x:f>
        <x:v>11.758031708527504</x:v>
      </x:c>
      <x:c r="S9" s="48" t="n">
        <x:f>IF(S7&gt;0,S8/S7,"Cash-flow positive")</x:f>
        <x:v>10.557989779912337</x:v>
      </x:c>
      <x:c r="T9" s="48" t="n">
        <x:f>IF(T7&gt;0,T8/T7,"Cash-flow positive")</x:f>
        <x:v>9.035703931643749</x:v>
      </x:c>
      <x:c r="U9" s="48" t="n">
        <x:f>IF(U7&gt;0,U8/U7,"Cash-flow positive")</x:f>
        <x:v>7.8894761441186905</x:v>
      </x:c>
      <x:c r="V9" s="48" t="n">
        <x:f>IF(V7&gt;0,V8/V7,"Cash-flow positive")</x:f>
        <x:v>6.640229791433255</x:v>
      </x:c>
      <x:c r="W9" s="48" t="n">
        <x:f>IF(W7&gt;0,W8/W7,"Cash-flow positive")</x:f>
        <x:v>5.436114225650197</x:v>
      </x:c>
      <x:c r="X9" s="48" t="n">
        <x:f>IF(X7&gt;0,X8/X7,"Cash-flow positive")</x:f>
        <x:v>4.273411627512953</x:v>
      </x:c>
      <x:c r="Y9" s="48" t="n">
        <x:f>IF(Y7&gt;0,Y8/Y7,"Cash-flow positive")</x:f>
        <x:v>3.2094846075704475</x:v>
      </x:c>
    </x:row>
    <x:row r="10" ht="15" hidden="0" customHeight="1">
      <x:c r="A10" s="34" t="str">
        <x:v>Gross Margin</x:v>
      </x:c>
      <x:c r="B10" s="37" t="n">
        <x:f>'Scenario Controls'!$B$12</x:f>
        <x:v>0.78</x:v>
      </x:c>
      <x:c r="C10" s="37" t="n">
        <x:f>'Scenario Controls'!$B$12</x:f>
        <x:v>0.78</x:v>
      </x:c>
      <x:c r="D10" s="37" t="n">
        <x:f>'Scenario Controls'!$B$12</x:f>
        <x:v>0.78</x:v>
      </x:c>
      <x:c r="E10" s="37" t="n">
        <x:f>'Scenario Controls'!$B$12</x:f>
        <x:v>0.78</x:v>
      </x:c>
      <x:c r="F10" s="37" t="n">
        <x:f>'Scenario Controls'!$B$12</x:f>
        <x:v>0.78</x:v>
      </x:c>
      <x:c r="G10" s="37" t="n">
        <x:f>'Scenario Controls'!$B$12</x:f>
        <x:v>0.78</x:v>
      </x:c>
      <x:c r="H10" s="37" t="n">
        <x:f>'Scenario Controls'!$B$12</x:f>
        <x:v>0.78</x:v>
      </x:c>
      <x:c r="I10" s="37" t="n">
        <x:f>'Scenario Controls'!$B$12</x:f>
        <x:v>0.78</x:v>
      </x:c>
      <x:c r="J10" s="37" t="n">
        <x:f>'Scenario Controls'!$B$12</x:f>
        <x:v>0.78</x:v>
      </x:c>
      <x:c r="K10" s="37" t="n">
        <x:f>'Scenario Controls'!$B$12</x:f>
        <x:v>0.78</x:v>
      </x:c>
      <x:c r="L10" s="37" t="n">
        <x:f>'Scenario Controls'!$B$12</x:f>
        <x:v>0.78</x:v>
      </x:c>
      <x:c r="M10" s="37" t="n">
        <x:f>'Scenario Controls'!$B$12</x:f>
        <x:v>0.78</x:v>
      </x:c>
      <x:c r="N10" s="37" t="n">
        <x:f>'Scenario Controls'!$B$12</x:f>
        <x:v>0.78</x:v>
      </x:c>
      <x:c r="O10" s="37" t="n">
        <x:f>'Scenario Controls'!$B$12</x:f>
        <x:v>0.78</x:v>
      </x:c>
      <x:c r="P10" s="37" t="n">
        <x:f>'Scenario Controls'!$B$12</x:f>
        <x:v>0.78</x:v>
      </x:c>
      <x:c r="Q10" s="37" t="n">
        <x:f>'Scenario Controls'!$B$12</x:f>
        <x:v>0.78</x:v>
      </x:c>
      <x:c r="R10" s="37" t="n">
        <x:f>'Scenario Controls'!$B$12</x:f>
        <x:v>0.78</x:v>
      </x:c>
      <x:c r="S10" s="37" t="n">
        <x:f>'Scenario Controls'!$B$12</x:f>
        <x:v>0.78</x:v>
      </x:c>
      <x:c r="T10" s="37" t="n">
        <x:f>'Scenario Controls'!$B$12</x:f>
        <x:v>0.78</x:v>
      </x:c>
      <x:c r="U10" s="37" t="n">
        <x:f>'Scenario Controls'!$B$12</x:f>
        <x:v>0.78</x:v>
      </x:c>
      <x:c r="V10" s="37" t="n">
        <x:f>'Scenario Controls'!$B$12</x:f>
        <x:v>0.78</x:v>
      </x:c>
      <x:c r="W10" s="37" t="n">
        <x:f>'Scenario Controls'!$B$12</x:f>
        <x:v>0.78</x:v>
      </x:c>
      <x:c r="X10" s="37" t="n">
        <x:f>'Scenario Controls'!$B$12</x:f>
        <x:v>0.78</x:v>
      </x:c>
      <x:c r="Y10" s="37" t="n">
        <x:f>'Scenario Controls'!$B$12</x:f>
        <x:v>0.78</x:v>
      </x:c>
    </x:row>
    <x:row r="11" ht="15" hidden="0" customHeight="1">
      <x:c r="A11" s="34" t="str">
        <x:v>Headcount</x:v>
      </x:c>
      <x:c r="B11" s="36" t="n">
        <x:f>'Expense Forecast'!B8</x:f>
        <x:v>42</x:v>
      </x:c>
      <x:c r="C11" s="36" t="n">
        <x:f>'Expense Forecast'!C8</x:f>
        <x:v>44</x:v>
      </x:c>
      <x:c r="D11" s="36" t="n">
        <x:f>'Expense Forecast'!D8</x:f>
        <x:v>47</x:v>
      </x:c>
      <x:c r="E11" s="36" t="n">
        <x:f>'Expense Forecast'!E8</x:f>
        <x:v>50</x:v>
      </x:c>
      <x:c r="F11" s="36" t="n">
        <x:f>'Expense Forecast'!F8</x:f>
        <x:v>53</x:v>
      </x:c>
      <x:c r="G11" s="36" t="n">
        <x:f>'Expense Forecast'!G8</x:f>
        <x:v>55</x:v>
      </x:c>
      <x:c r="H11" s="36" t="n">
        <x:f>'Expense Forecast'!H8</x:f>
        <x:v>59</x:v>
      </x:c>
      <x:c r="I11" s="36" t="n">
        <x:f>'Expense Forecast'!I8</x:f>
        <x:v>61</x:v>
      </x:c>
      <x:c r="J11" s="36" t="n">
        <x:f>'Expense Forecast'!J8</x:f>
        <x:v>64</x:v>
      </x:c>
      <x:c r="K11" s="36" t="n">
        <x:f>'Expense Forecast'!K8</x:f>
        <x:v>67</x:v>
      </x:c>
      <x:c r="L11" s="36" t="n">
        <x:f>'Expense Forecast'!L8</x:f>
        <x:v>70</x:v>
      </x:c>
      <x:c r="M11" s="36" t="n">
        <x:f>'Expense Forecast'!M8</x:f>
        <x:v>72</x:v>
      </x:c>
      <x:c r="N11" s="36" t="n">
        <x:f>'Expense Forecast'!N8</x:f>
        <x:v>76</x:v>
      </x:c>
      <x:c r="O11" s="36" t="n">
        <x:f>'Expense Forecast'!O8</x:f>
        <x:v>78</x:v>
      </x:c>
      <x:c r="P11" s="36" t="n">
        <x:f>'Expense Forecast'!P8</x:f>
        <x:v>81</x:v>
      </x:c>
      <x:c r="Q11" s="36" t="n">
        <x:f>'Expense Forecast'!Q8</x:f>
        <x:v>84</x:v>
      </x:c>
      <x:c r="R11" s="36" t="n">
        <x:f>'Expense Forecast'!R8</x:f>
        <x:v>87</x:v>
      </x:c>
      <x:c r="S11" s="36" t="n">
        <x:f>'Expense Forecast'!S8</x:f>
        <x:v>89</x:v>
      </x:c>
      <x:c r="T11" s="36" t="n">
        <x:f>'Expense Forecast'!T8</x:f>
        <x:v>93</x:v>
      </x:c>
      <x:c r="U11" s="36" t="n">
        <x:f>'Expense Forecast'!U8</x:f>
        <x:v>95</x:v>
      </x:c>
      <x:c r="V11" s="36" t="n">
        <x:f>'Expense Forecast'!V8</x:f>
        <x:v>98</x:v>
      </x:c>
      <x:c r="W11" s="36" t="n">
        <x:f>'Expense Forecast'!W8</x:f>
        <x:v>101</x:v>
      </x:c>
      <x:c r="X11" s="36" t="n">
        <x:f>'Expense Forecast'!X8</x:f>
        <x:v>104</x:v>
      </x:c>
      <x:c r="Y11" s="36" t="n">
        <x:f>'Expense Forecast'!Y8</x:f>
        <x:v>106</x:v>
      </x:c>
    </x:row>
    <x:row r="12" ht="15" hidden="0" customHeight="1">
      <x:c r="A12" s="34" t="str">
        <x:v>CAC Payback (Months)</x:v>
      </x:c>
      <x:c r="B12" s="48" t="n">
        <x:f>IFERROR('Scenario Controls'!$B$13/('Revenue Forecast'!B8*'Scenario Controls'!$B$12),0)</x:f>
        <x:v>2.508137210560966</x:v>
      </x:c>
      <x:c r="C12" s="48" t="n">
        <x:f>IFERROR('Scenario Controls'!$B$13/('Revenue Forecast'!C8*'Scenario Controls'!$B$12),0)</x:f>
        <x:v>2.4931781417107013</x:v>
      </x:c>
      <x:c r="D12" s="48" t="n">
        <x:f>IFERROR('Scenario Controls'!$B$13/('Revenue Forecast'!D8*'Scenario Controls'!$B$12),0)</x:f>
        <x:v>2.478308291958948</x:v>
      </x:c>
      <x:c r="E12" s="48" t="n">
        <x:f>IFERROR('Scenario Controls'!$B$13/('Revenue Forecast'!E8*'Scenario Controls'!$B$12),0)</x:f>
        <x:v>2.463527129183845</x:v>
      </x:c>
      <x:c r="F12" s="48" t="n">
        <x:f>IFERROR('Scenario Controls'!$B$13/('Revenue Forecast'!F8*'Scenario Controls'!$B$12),0)</x:f>
        <x:v>2.448834124437221</x:v>
      </x:c>
      <x:c r="G12" s="48" t="n">
        <x:f>IFERROR('Scenario Controls'!$B$13/('Revenue Forecast'!G8*'Scenario Controls'!$B$12),0)</x:f>
        <x:v>2.4342287519256676</x:v>
      </x:c>
      <x:c r="H12" s="48" t="n">
        <x:f>IFERROR('Scenario Controls'!$B$13/('Revenue Forecast'!H8*'Scenario Controls'!$B$12),0)</x:f>
        <x:v>2.419710488991717</x:v>
      </x:c>
      <x:c r="I12" s="48" t="n">
        <x:f>IFERROR('Scenario Controls'!$B$13/('Revenue Forecast'!I8*'Scenario Controls'!$B$12),0)</x:f>
        <x:v>2.4052788160951457</x:v>
      </x:c>
      <x:c r="J12" s="48" t="n">
        <x:f>IFERROR('Scenario Controls'!$B$13/('Revenue Forecast'!J8*'Scenario Controls'!$B$12),0)</x:f>
        <x:v>2.3909332167943798</x:v>
      </x:c>
      <x:c r="K12" s="48" t="n">
        <x:f>IFERROR('Scenario Controls'!$B$13/('Revenue Forecast'!K8*'Scenario Controls'!$B$12),0)</x:f>
        <x:v>2.3766731777280117</x:v>
      </x:c>
      <x:c r="L12" s="48" t="n">
        <x:f>IFERROR('Scenario Controls'!$B$13/('Revenue Forecast'!L8*'Scenario Controls'!$B$12),0)</x:f>
        <x:v>2.362498188596433</x:v>
      </x:c>
      <x:c r="M12" s="48" t="n">
        <x:f>IFERROR('Scenario Controls'!$B$13/('Revenue Forecast'!M8*'Scenario Controls'!$B$12),0)</x:f>
        <x:v>2.348407742143572</x:v>
      </x:c>
      <x:c r="N12" s="48" t="n">
        <x:f>IFERROR('Scenario Controls'!$B$13/('Revenue Forecast'!N8*'Scenario Controls'!$B$12),0)</x:f>
        <x:v>2.3344013341387395</x:v>
      </x:c>
      <x:c r="O12" s="48" t="n">
        <x:f>IFERROR('Scenario Controls'!$B$13/('Revenue Forecast'!O8*'Scenario Controls'!$B$12),0)</x:f>
        <x:v>2.320478463358588</x:v>
      </x:c>
      <x:c r="P12" s="48" t="n">
        <x:f>IFERROR('Scenario Controls'!$B$13/('Revenue Forecast'!P8*'Scenario Controls'!$B$12),0)</x:f>
        <x:v>2.306638631569173</x:v>
      </x:c>
      <x:c r="Q12" s="48" t="n">
        <x:f>IFERROR('Scenario Controls'!$B$13/('Revenue Forecast'!Q8*'Scenario Controls'!$B$12),0)</x:f>
        <x:v>2.292881343508124</x:v>
      </x:c>
      <x:c r="R12" s="48" t="n">
        <x:f>IFERROR('Scenario Controls'!$B$13/('Revenue Forecast'!R8*'Scenario Controls'!$B$12),0)</x:f>
        <x:v>2.2792061068669223</x:v>
      </x:c>
      <x:c r="S12" s="48" t="n">
        <x:f>IFERROR('Scenario Controls'!$B$13/('Revenue Forecast'!S8*'Scenario Controls'!$B$12),0)</x:f>
        <x:v>2.2656124322732825</x:v>
      </x:c>
      <x:c r="T12" s="48" t="n">
        <x:f>IFERROR('Scenario Controls'!$B$13/('Revenue Forecast'!T8*'Scenario Controls'!$B$12),0)</x:f>
        <x:v>2.252099833273641</x:v>
      </x:c>
      <x:c r="U12" s="48" t="n">
        <x:f>IFERROR('Scenario Controls'!$B$13/('Revenue Forecast'!U8*'Scenario Controls'!$B$12),0)</x:f>
        <x:v>2.2386678263157465</x:v>
      </x:c>
      <x:c r="V12" s="48" t="n">
        <x:f>IFERROR('Scenario Controls'!$B$13/('Revenue Forecast'!V8*'Scenario Controls'!$B$12),0)</x:f>
        <x:v>2.225315930731359</x:v>
      </x:c>
      <x:c r="W12" s="48" t="n">
        <x:f>IFERROR('Scenario Controls'!$B$13/('Revenue Forecast'!W8*'Scenario Controls'!$B$12),0)</x:f>
        <x:v>2.212043668719044</x:v>
      </x:c>
      <x:c r="X12" s="48" t="n">
        <x:f>IFERROR('Scenario Controls'!$B$13/('Revenue Forecast'!X8*'Scenario Controls'!$B$12),0)</x:f>
        <x:v>2.198850565327082</x:v>
      </x:c>
      <x:c r="Y12" s="48" t="n">
        <x:f>IFERROR('Scenario Controls'!$B$13/('Revenue Forecast'!Y8*'Scenario Controls'!$B$12),0)</x:f>
        <x:v>2.185736148436463</x:v>
      </x:c>
    </x:row>
  </x:sheetData>
  <x:mergeCells>
    <x:mergeCell ref="A1:Y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15" hidden="0" customHeight="1">
      <x:c r="A1" s="20" t="str">
        <x:v>Runway Sensitivity</x:v>
      </x:c>
      <x:c r="B1" s="20" t="str">
        <x:v>Runway Sensitivity</x:v>
      </x:c>
      <x:c r="C1" s="20" t="str">
        <x:v>Runway Sensitivity</x:v>
      </x:c>
      <x:c r="D1" s="20" t="str">
        <x:v>Runway Sensitivity</x:v>
      </x:c>
      <x:c r="E1" s="20" t="str">
        <x:v>Runway Sensitivity</x:v>
      </x:c>
      <x:c r="F1" s="20" t="str">
        <x:v>Runway Sensitivity</x:v>
      </x:c>
      <x:c r="G1" s="20" t="str">
        <x:v>Runway Sensitivity</x:v>
      </x:c>
      <x:c r="H1" s="20" t="str">
        <x:v>Runway Sensitivity</x:v>
      </x:c>
    </x:row>
    <x:row r="2" ht="15" hidden="0" customHeight="1">
      <x:c r="A2" s="21"/>
      <x:c r="B2" s="21"/>
      <x:c r="C2" s="21"/>
      <x:c r="D2" s="21"/>
      <x:c r="E2" s="21"/>
      <x:c r="F2" s="21"/>
      <x:c r="G2" s="21"/>
      <x:c r="H2" s="21"/>
    </x:row>
    <x:row r="3" ht="15" hidden="0" customHeight="1">
      <x:c r="A3" s="23" t="str">
        <x:v>Rows flex monthly new customers; columns flex monthly churn. Output is approximate ending runway in months.</x:v>
      </x:c>
      <x:c r="B3" s="23"/>
      <x:c r="C3" s="23"/>
      <x:c r="D3" s="23"/>
      <x:c r="E3" s="23"/>
      <x:c r="F3" s="23"/>
      <x:c r="G3" s="21"/>
      <x:c r="H3" s="21"/>
    </x:row>
    <x:row r="4" ht="15" hidden="0" customHeight="1">
      <x:c r="A4" s="21"/>
      <x:c r="B4" s="21"/>
      <x:c r="C4" s="21"/>
      <x:c r="D4" s="21"/>
      <x:c r="E4" s="21"/>
      <x:c r="F4" s="21"/>
      <x:c r="G4" s="21"/>
      <x:c r="H4" s="21"/>
    </x:row>
    <x:row r="5" ht="15" hidden="0" customHeight="1">
      <x:c r="A5" s="27" t="str">
        <x:v>Growth / Churn</x:v>
      </x:c>
      <x:c r="B5" s="32" t="str">
        <x:v>-20% churn</x:v>
      </x:c>
      <x:c r="C5" s="32" t="str">
        <x:v>-10% churn</x:v>
      </x:c>
      <x:c r="D5" s="32" t="str">
        <x:v>Base churn</x:v>
      </x:c>
      <x:c r="E5" s="32" t="str">
        <x:v>+10% churn</x:v>
      </x:c>
      <x:c r="F5" s="33" t="str">
        <x:v>+20% churn</x:v>
      </x:c>
      <x:c r="G5" s="21"/>
      <x:c r="H5" s="21"/>
    </x:row>
    <x:row r="6" ht="15" hidden="0" customHeight="1">
      <x:c r="A6" s="34" t="str">
        <x:v>-20% growth</x:v>
      </x:c>
      <x:c r="B6" s="48" t="n">
        <x:f>MAX(0,('Scenario Controls'!$B$5-24*(('Scenario Controls'!$B$14*AVERAGE('Expense Forecast'!$B$8:$Y$8)+'Scenario Controls'!$B$15+'Scenario Controls'!$B$16)-(('Scenario Controls'!$B$6+24*'Scenario Controls'!$B$8*0.8-12*'Scenario Controls'!$B$6*'Scenario Controls'!$B$9*0.8)*'Scenario Controls'!$B$7*'Scenario Controls'!$B$12)))/MAX(1,(('Scenario Controls'!$B$14*AVERAGE('Expense Forecast'!$B$8:$Y$8)+'Scenario Controls'!$B$15+'Scenario Controls'!$B$16)-(('Scenario Controls'!$B$6+24*'Scenario Controls'!$B$8*0.8-12*'Scenario Controls'!$B$6*'Scenario Controls'!$B$9*0.8)*'Scenario Controls'!$B$7*'Scenario Controls'!$B$12))))</x:f>
        <x:v>26.361021645763397</x:v>
      </x:c>
      <x:c r="C6" s="48" t="n">
        <x:f>MAX(0,('Scenario Controls'!$B$5-24*(('Scenario Controls'!$B$14*AVERAGE('Expense Forecast'!$B$8:$Y$8)+'Scenario Controls'!$B$15+'Scenario Controls'!$B$16)-(('Scenario Controls'!$B$6+24*'Scenario Controls'!$B$8*0.8-12*'Scenario Controls'!$B$6*'Scenario Controls'!$B$9*0.9)*'Scenario Controls'!$B$7*'Scenario Controls'!$B$12)))/MAX(1,(('Scenario Controls'!$B$14*AVERAGE('Expense Forecast'!$B$8:$Y$8)+'Scenario Controls'!$B$15+'Scenario Controls'!$B$16)-(('Scenario Controls'!$B$6+24*'Scenario Controls'!$B$8*0.8-12*'Scenario Controls'!$B$6*'Scenario Controls'!$B$9*0.9)*'Scenario Controls'!$B$7*'Scenario Controls'!$B$12))))</x:f>
        <x:v>23.923285447466398</x:v>
      </x:c>
      <x:c r="D6" s="48" t="n">
        <x:f>MAX(0,('Scenario Controls'!$B$5-24*(('Scenario Controls'!$B$14*AVERAGE('Expense Forecast'!$B$8:$Y$8)+'Scenario Controls'!$B$15+'Scenario Controls'!$B$16)-(('Scenario Controls'!$B$6+24*'Scenario Controls'!$B$8*0.8-12*'Scenario Controls'!$B$6*'Scenario Controls'!$B$9*1)*'Scenario Controls'!$B$7*'Scenario Controls'!$B$12)))/MAX(1,(('Scenario Controls'!$B$14*AVERAGE('Expense Forecast'!$B$8:$Y$8)+'Scenario Controls'!$B$15+'Scenario Controls'!$B$16)-(('Scenario Controls'!$B$6+24*'Scenario Controls'!$B$8*0.8-12*'Scenario Controls'!$B$6*'Scenario Controls'!$B$9*1)*'Scenario Controls'!$B$7*'Scenario Controls'!$B$12))))</x:f>
        <x:v>21.710651430172938</x:v>
      </x:c>
      <x:c r="E6" s="48" t="n">
        <x:f>MAX(0,('Scenario Controls'!$B$5-24*(('Scenario Controls'!$B$14*AVERAGE('Expense Forecast'!$B$8:$Y$8)+'Scenario Controls'!$B$15+'Scenario Controls'!$B$16)-(('Scenario Controls'!$B$6+24*'Scenario Controls'!$B$8*0.8-12*'Scenario Controls'!$B$6*'Scenario Controls'!$B$9*1.1)*'Scenario Controls'!$B$7*'Scenario Controls'!$B$12)))/MAX(1,(('Scenario Controls'!$B$14*AVERAGE('Expense Forecast'!$B$8:$Y$8)+'Scenario Controls'!$B$15+'Scenario Controls'!$B$16)-(('Scenario Controls'!$B$6+24*'Scenario Controls'!$B$8*0.8-12*'Scenario Controls'!$B$6*'Scenario Controls'!$B$9*1.1)*'Scenario Controls'!$B$7*'Scenario Controls'!$B$12))))</x:f>
        <x:v>19.693316485749776</x:v>
      </x:c>
      <x:c r="F6" s="48" t="n">
        <x:f>MAX(0,('Scenario Controls'!$B$5-24*(('Scenario Controls'!$B$14*AVERAGE('Expense Forecast'!$B$8:$Y$8)+'Scenario Controls'!$B$15+'Scenario Controls'!$B$16)-(('Scenario Controls'!$B$6+24*'Scenario Controls'!$B$8*0.8-12*'Scenario Controls'!$B$6*'Scenario Controls'!$B$9*1.2)*'Scenario Controls'!$B$7*'Scenario Controls'!$B$12)))/MAX(1,(('Scenario Controls'!$B$14*AVERAGE('Expense Forecast'!$B$8:$Y$8)+'Scenario Controls'!$B$15+'Scenario Controls'!$B$16)-(('Scenario Controls'!$B$6+24*'Scenario Controls'!$B$8*0.8-12*'Scenario Controls'!$B$6*'Scenario Controls'!$B$9*1.2)*'Scenario Controls'!$B$7*'Scenario Controls'!$B$12))))</x:f>
        <x:v>17.84651629827405</x:v>
      </x:c>
      <x:c r="G6" s="21"/>
      <x:c r="H6" s="21"/>
    </x:row>
    <x:row r="7" ht="15" hidden="0" customHeight="1">
      <x:c r="A7" s="34" t="str">
        <x:v>-10% growth</x:v>
      </x:c>
      <x:c r="B7" s="48" t="n">
        <x:f>MAX(0,('Scenario Controls'!$B$5-24*(('Scenario Controls'!$B$14*AVERAGE('Expense Forecast'!$B$8:$Y$8)+'Scenario Controls'!$B$15+'Scenario Controls'!$B$16)-(('Scenario Controls'!$B$6+24*'Scenario Controls'!$B$8*0.9-12*'Scenario Controls'!$B$6*'Scenario Controls'!$B$9*0.8)*'Scenario Controls'!$B$7*'Scenario Controls'!$B$12)))/MAX(1,(('Scenario Controls'!$B$14*AVERAGE('Expense Forecast'!$B$8:$Y$8)+'Scenario Controls'!$B$15+'Scenario Controls'!$B$16)-(('Scenario Controls'!$B$6+24*'Scenario Controls'!$B$8*0.9-12*'Scenario Controls'!$B$6*'Scenario Controls'!$B$9*0.8)*'Scenario Controls'!$B$7*'Scenario Controls'!$B$12))))</x:f>
        <x:v>37.87621596664573</x:v>
      </x:c>
      <x:c r="C7" s="48" t="n">
        <x:f>MAX(0,('Scenario Controls'!$B$5-24*(('Scenario Controls'!$B$14*AVERAGE('Expense Forecast'!$B$8:$Y$8)+'Scenario Controls'!$B$15+'Scenario Controls'!$B$16)-(('Scenario Controls'!$B$6+24*'Scenario Controls'!$B$8*0.9-12*'Scenario Controls'!$B$6*'Scenario Controls'!$B$9*0.9)*'Scenario Controls'!$B$7*'Scenario Controls'!$B$12)))/MAX(1,(('Scenario Controls'!$B$14*AVERAGE('Expense Forecast'!$B$8:$Y$8)+'Scenario Controls'!$B$15+'Scenario Controls'!$B$16)-(('Scenario Controls'!$B$6+24*'Scenario Controls'!$B$8*0.9-12*'Scenario Controls'!$B$6*'Scenario Controls'!$B$9*0.9)*'Scenario Controls'!$B$7*'Scenario Controls'!$B$12))))</x:f>
        <x:v>34.23652280139702</x:v>
      </x:c>
      <x:c r="D7" s="48" t="n">
        <x:f>MAX(0,('Scenario Controls'!$B$5-24*(('Scenario Controls'!$B$14*AVERAGE('Expense Forecast'!$B$8:$Y$8)+'Scenario Controls'!$B$15+'Scenario Controls'!$B$16)-(('Scenario Controls'!$B$6+24*'Scenario Controls'!$B$8*0.9-12*'Scenario Controls'!$B$6*'Scenario Controls'!$B$9*1)*'Scenario Controls'!$B$7*'Scenario Controls'!$B$12)))/MAX(1,(('Scenario Controls'!$B$14*AVERAGE('Expense Forecast'!$B$8:$Y$8)+'Scenario Controls'!$B$15+'Scenario Controls'!$B$16)-(('Scenario Controls'!$B$6+24*'Scenario Controls'!$B$8*0.9-12*'Scenario Controls'!$B$6*'Scenario Controls'!$B$9*1)*'Scenario Controls'!$B$7*'Scenario Controls'!$B$12))))</x:f>
        <x:v>31.001231147558016</x:v>
      </x:c>
      <x:c r="E7" s="48" t="n">
        <x:f>MAX(0,('Scenario Controls'!$B$5-24*(('Scenario Controls'!$B$14*AVERAGE('Expense Forecast'!$B$8:$Y$8)+'Scenario Controls'!$B$15+'Scenario Controls'!$B$16)-(('Scenario Controls'!$B$6+24*'Scenario Controls'!$B$8*0.9-12*'Scenario Controls'!$B$6*'Scenario Controls'!$B$9*1.1)*'Scenario Controls'!$B$7*'Scenario Controls'!$B$12)))/MAX(1,(('Scenario Controls'!$B$14*AVERAGE('Expense Forecast'!$B$8:$Y$8)+'Scenario Controls'!$B$15+'Scenario Controls'!$B$16)-(('Scenario Controls'!$B$6+24*'Scenario Controls'!$B$8*0.9-12*'Scenario Controls'!$B$6*'Scenario Controls'!$B$9*1.1)*'Scenario Controls'!$B$7*'Scenario Controls'!$B$12))))</x:f>
        <x:v>28.106489457248152</x:v>
      </x:c>
      <x:c r="F7" s="48" t="n">
        <x:f>MAX(0,('Scenario Controls'!$B$5-24*(('Scenario Controls'!$B$14*AVERAGE('Expense Forecast'!$B$8:$Y$8)+'Scenario Controls'!$B$15+'Scenario Controls'!$B$16)-(('Scenario Controls'!$B$6+24*'Scenario Controls'!$B$8*0.9-12*'Scenario Controls'!$B$6*'Scenario Controls'!$B$9*1.2)*'Scenario Controls'!$B$7*'Scenario Controls'!$B$12)))/MAX(1,(('Scenario Controls'!$B$14*AVERAGE('Expense Forecast'!$B$8:$Y$8)+'Scenario Controls'!$B$15+'Scenario Controls'!$B$16)-(('Scenario Controls'!$B$6+24*'Scenario Controls'!$B$8*0.9-12*'Scenario Controls'!$B$6*'Scenario Controls'!$B$9*1.2)*'Scenario Controls'!$B$7*'Scenario Controls'!$B$12))))</x:f>
        <x:v>25.501216240922936</x:v>
      </x:c>
      <x:c r="G7" s="21"/>
      <x:c r="H7" s="21"/>
    </x:row>
    <x:row r="8" ht="15" hidden="0" customHeight="1">
      <x:c r="A8" s="34" t="str">
        <x:v>Base growth</x:v>
      </x:c>
      <x:c r="B8" s="48" t="n">
        <x:f>MAX(0,('Scenario Controls'!$B$5-24*(('Scenario Controls'!$B$14*AVERAGE('Expense Forecast'!$B$8:$Y$8)+'Scenario Controls'!$B$15+'Scenario Controls'!$B$16)-(('Scenario Controls'!$B$6+24*'Scenario Controls'!$B$8*1-12*'Scenario Controls'!$B$6*'Scenario Controls'!$B$9*0.8)*'Scenario Controls'!$B$7*'Scenario Controls'!$B$12)))/MAX(1,(('Scenario Controls'!$B$14*AVERAGE('Expense Forecast'!$B$8:$Y$8)+'Scenario Controls'!$B$15+'Scenario Controls'!$B$16)-(('Scenario Controls'!$B$6+24*'Scenario Controls'!$B$8*1-12*'Scenario Controls'!$B$6*'Scenario Controls'!$B$9*0.8)*'Scenario Controls'!$B$7*'Scenario Controls'!$B$12))))</x:f>
        <x:v>56.218382931910284</x:v>
      </x:c>
      <x:c r="C8" s="48" t="n">
        <x:f>MAX(0,('Scenario Controls'!$B$5-24*(('Scenario Controls'!$B$14*AVERAGE('Expense Forecast'!$B$8:$Y$8)+'Scenario Controls'!$B$15+'Scenario Controls'!$B$16)-(('Scenario Controls'!$B$6+24*'Scenario Controls'!$B$8*1-12*'Scenario Controls'!$B$6*'Scenario Controls'!$B$9*0.9)*'Scenario Controls'!$B$7*'Scenario Controls'!$B$12)))/MAX(1,(('Scenario Controls'!$B$14*AVERAGE('Expense Forecast'!$B$8:$Y$8)+'Scenario Controls'!$B$15+'Scenario Controls'!$B$16)-(('Scenario Controls'!$B$6+24*'Scenario Controls'!$B$8*1-12*'Scenario Controls'!$B$6*'Scenario Controls'!$B$9*0.9)*'Scenario Controls'!$B$7*'Scenario Controls'!$B$12))))</x:f>
        <x:v>50.20584782923789</x:v>
      </x:c>
      <x:c r="D8" s="48" t="n">
        <x:f>MAX(0,('Scenario Controls'!$B$5-24*(('Scenario Controls'!$B$14*AVERAGE('Expense Forecast'!$B$8:$Y$8)+'Scenario Controls'!$B$15+'Scenario Controls'!$B$16)-(('Scenario Controls'!$B$6+24*'Scenario Controls'!$B$8*1-12*'Scenario Controls'!$B$6*'Scenario Controls'!$B$9*1)*'Scenario Controls'!$B$7*'Scenario Controls'!$B$12)))/MAX(1,(('Scenario Controls'!$B$14*AVERAGE('Expense Forecast'!$B$8:$Y$8)+'Scenario Controls'!$B$15+'Scenario Controls'!$B$16)-(('Scenario Controls'!$B$6+24*'Scenario Controls'!$B$8*1-12*'Scenario Controls'!$B$6*'Scenario Controls'!$B$9*1)*'Scenario Controls'!$B$7*'Scenario Controls'!$B$12))))</x:f>
        <x:v>45.03177250838927</x:v>
      </x:c>
      <x:c r="E8" s="48" t="n">
        <x:f>MAX(0,('Scenario Controls'!$B$5-24*(('Scenario Controls'!$B$14*AVERAGE('Expense Forecast'!$B$8:$Y$8)+'Scenario Controls'!$B$15+'Scenario Controls'!$B$16)-(('Scenario Controls'!$B$6+24*'Scenario Controls'!$B$8*1-12*'Scenario Controls'!$B$6*'Scenario Controls'!$B$9*1.1)*'Scenario Controls'!$B$7*'Scenario Controls'!$B$12)))/MAX(1,(('Scenario Controls'!$B$14*AVERAGE('Expense Forecast'!$B$8:$Y$8)+'Scenario Controls'!$B$15+'Scenario Controls'!$B$16)-(('Scenario Controls'!$B$6+24*'Scenario Controls'!$B$8*1-12*'Scenario Controls'!$B$6*'Scenario Controls'!$B$9*1.1)*'Scenario Controls'!$B$7*'Scenario Controls'!$B$12))))</x:f>
        <x:v>40.53220163056455</x:v>
      </x:c>
      <x:c r="F8" s="48" t="n">
        <x:f>MAX(0,('Scenario Controls'!$B$5-24*(('Scenario Controls'!$B$14*AVERAGE('Expense Forecast'!$B$8:$Y$8)+'Scenario Controls'!$B$15+'Scenario Controls'!$B$16)-(('Scenario Controls'!$B$6+24*'Scenario Controls'!$B$8*1-12*'Scenario Controls'!$B$6*'Scenario Controls'!$B$9*1.2)*'Scenario Controls'!$B$7*'Scenario Controls'!$B$12)))/MAX(1,(('Scenario Controls'!$B$14*AVERAGE('Expense Forecast'!$B$8:$Y$8)+'Scenario Controls'!$B$15+'Scenario Controls'!$B$16)-(('Scenario Controls'!$B$6+24*'Scenario Controls'!$B$8*1-12*'Scenario Controls'!$B$6*'Scenario Controls'!$B$9*1.2)*'Scenario Controls'!$B$7*'Scenario Controls'!$B$12))))</x:f>
        <x:v>36.58331124223472</x:v>
      </x:c>
      <x:c r="G8" s="21"/>
      <x:c r="H8" s="21"/>
    </x:row>
    <x:row r="9" ht="15" hidden="0" customHeight="1">
      <x:c r="A9" s="34" t="str">
        <x:v>+10% growth</x:v>
      </x:c>
      <x:c r="B9" s="48" t="n">
        <x:f>MAX(0,('Scenario Controls'!$B$5-24*(('Scenario Controls'!$B$14*AVERAGE('Expense Forecast'!$B$8:$Y$8)+'Scenario Controls'!$B$15+'Scenario Controls'!$B$16)-(('Scenario Controls'!$B$6+24*'Scenario Controls'!$B$8*1.1-12*'Scenario Controls'!$B$6*'Scenario Controls'!$B$9*0.8)*'Scenario Controls'!$B$7*'Scenario Controls'!$B$12)))/MAX(1,(('Scenario Controls'!$B$14*AVERAGE('Expense Forecast'!$B$8:$Y$8)+'Scenario Controls'!$B$15+'Scenario Controls'!$B$16)-(('Scenario Controls'!$B$6+24*'Scenario Controls'!$B$8*1.1-12*'Scenario Controls'!$B$6*'Scenario Controls'!$B$9*0.8)*'Scenario Controls'!$B$7*'Scenario Controls'!$B$12))))</x:f>
        <x:v>90.01673174559293</x:v>
      </x:c>
      <x:c r="C9" s="48" t="n">
        <x:f>MAX(0,('Scenario Controls'!$B$5-24*(('Scenario Controls'!$B$14*AVERAGE('Expense Forecast'!$B$8:$Y$8)+'Scenario Controls'!$B$15+'Scenario Controls'!$B$16)-(('Scenario Controls'!$B$6+24*'Scenario Controls'!$B$8*1.1-12*'Scenario Controls'!$B$6*'Scenario Controls'!$B$9*0.9)*'Scenario Controls'!$B$7*'Scenario Controls'!$B$12)))/MAX(1,(('Scenario Controls'!$B$14*AVERAGE('Expense Forecast'!$B$8:$Y$8)+'Scenario Controls'!$B$15+'Scenario Controls'!$B$16)-(('Scenario Controls'!$B$6+24*'Scenario Controls'!$B$8*1.1-12*'Scenario Controls'!$B$6*'Scenario Controls'!$B$9*0.9)*'Scenario Controls'!$B$7*'Scenario Controls'!$B$12))))</x:f>
        <x:v>78.24218251364883</x:v>
      </x:c>
      <x:c r="D9" s="48" t="n">
        <x:f>MAX(0,('Scenario Controls'!$B$5-24*(('Scenario Controls'!$B$14*AVERAGE('Expense Forecast'!$B$8:$Y$8)+'Scenario Controls'!$B$15+'Scenario Controls'!$B$16)-(('Scenario Controls'!$B$6+24*'Scenario Controls'!$B$8*1.1-12*'Scenario Controls'!$B$6*'Scenario Controls'!$B$9*1)*'Scenario Controls'!$B$7*'Scenario Controls'!$B$12)))/MAX(1,(('Scenario Controls'!$B$14*AVERAGE('Expense Forecast'!$B$8:$Y$8)+'Scenario Controls'!$B$15+'Scenario Controls'!$B$16)-(('Scenario Controls'!$B$6+24*'Scenario Controls'!$B$8*1.1-12*'Scenario Controls'!$B$6*'Scenario Controls'!$B$9*1)*'Scenario Controls'!$B$7*'Scenario Controls'!$B$12))))</x:f>
        <x:v>68.67191975590373</x:v>
      </x:c>
      <x:c r="E9" s="48" t="n">
        <x:f>MAX(0,('Scenario Controls'!$B$5-24*(('Scenario Controls'!$B$14*AVERAGE('Expense Forecast'!$B$8:$Y$8)+'Scenario Controls'!$B$15+'Scenario Controls'!$B$16)-(('Scenario Controls'!$B$6+24*'Scenario Controls'!$B$8*1.1-12*'Scenario Controls'!$B$6*'Scenario Controls'!$B$9*1.1)*'Scenario Controls'!$B$7*'Scenario Controls'!$B$12)))/MAX(1,(('Scenario Controls'!$B$14*AVERAGE('Expense Forecast'!$B$8:$Y$8)+'Scenario Controls'!$B$15+'Scenario Controls'!$B$16)-(('Scenario Controls'!$B$6+24*'Scenario Controls'!$B$8*1.1-12*'Scenario Controls'!$B$6*'Scenario Controls'!$B$9*1.1)*'Scenario Controls'!$B$7*'Scenario Controls'!$B$12))))</x:f>
        <x:v>60.73993490237525</x:v>
      </x:c>
      <x:c r="F9" s="48" t="n">
        <x:f>MAX(0,('Scenario Controls'!$B$5-24*(('Scenario Controls'!$B$14*AVERAGE('Expense Forecast'!$B$8:$Y$8)+'Scenario Controls'!$B$15+'Scenario Controls'!$B$16)-(('Scenario Controls'!$B$6+24*'Scenario Controls'!$B$8*1.1-12*'Scenario Controls'!$B$6*'Scenario Controls'!$B$9*1.2)*'Scenario Controls'!$B$7*'Scenario Controls'!$B$12)))/MAX(1,(('Scenario Controls'!$B$14*AVERAGE('Expense Forecast'!$B$8:$Y$8)+'Scenario Controls'!$B$15+'Scenario Controls'!$B$16)-(('Scenario Controls'!$B$6+24*'Scenario Controls'!$B$8*1.1-12*'Scenario Controls'!$B$6*'Scenario Controls'!$B$9*1.2)*'Scenario Controls'!$B$7*'Scenario Controls'!$B$12))))</x:f>
        <x:v>54.058724240183956</x:v>
      </x:c>
      <x:c r="G9" s="21"/>
      <x:c r="H9" s="21"/>
    </x:row>
    <x:row r="10" ht="15" hidden="0" customHeight="1">
      <x:c r="A10" s="34" t="str">
        <x:v>+20% growth</x:v>
      </x:c>
      <x:c r="B10" s="48" t="n">
        <x:f>MAX(0,('Scenario Controls'!$B$5-24*(('Scenario Controls'!$B$14*AVERAGE('Expense Forecast'!$B$8:$Y$8)+'Scenario Controls'!$B$15+'Scenario Controls'!$B$16)-(('Scenario Controls'!$B$6+24*'Scenario Controls'!$B$8*1.2-12*'Scenario Controls'!$B$6*'Scenario Controls'!$B$9*0.8)*'Scenario Controls'!$B$7*'Scenario Controls'!$B$12)))/MAX(1,(('Scenario Controls'!$B$14*AVERAGE('Expense Forecast'!$B$8:$Y$8)+'Scenario Controls'!$B$15+'Scenario Controls'!$B$16)-(('Scenario Controls'!$B$6+24*'Scenario Controls'!$B$8*1.2-12*'Scenario Controls'!$B$6*'Scenario Controls'!$B$9*0.8)*'Scenario Controls'!$B$7*'Scenario Controls'!$B$12))))</x:f>
        <x:v>173.03212247794136</x:v>
      </x:c>
      <x:c r="C10" s="48" t="n">
        <x:f>MAX(0,('Scenario Controls'!$B$5-24*(('Scenario Controls'!$B$14*AVERAGE('Expense Forecast'!$B$8:$Y$8)+'Scenario Controls'!$B$15+'Scenario Controls'!$B$16)-(('Scenario Controls'!$B$6+24*'Scenario Controls'!$B$8*1.2-12*'Scenario Controls'!$B$6*'Scenario Controls'!$B$9*0.9)*'Scenario Controls'!$B$7*'Scenario Controls'!$B$12)))/MAX(1,(('Scenario Controls'!$B$14*AVERAGE('Expense Forecast'!$B$8:$Y$8)+'Scenario Controls'!$B$15+'Scenario Controls'!$B$16)-(('Scenario Controls'!$B$6+24*'Scenario Controls'!$B$8*1.2-12*'Scenario Controls'!$B$6*'Scenario Controls'!$B$9*0.9)*'Scenario Controls'!$B$7*'Scenario Controls'!$B$12))))</x:f>
        <x:v>140.3285215838808</x:v>
      </x:c>
      <x:c r="D10" s="48" t="n">
        <x:f>MAX(0,('Scenario Controls'!$B$5-24*(('Scenario Controls'!$B$14*AVERAGE('Expense Forecast'!$B$8:$Y$8)+'Scenario Controls'!$B$15+'Scenario Controls'!$B$16)-(('Scenario Controls'!$B$6+24*'Scenario Controls'!$B$8*1.2-12*'Scenario Controls'!$B$6*'Scenario Controls'!$B$9*1)*'Scenario Controls'!$B$7*'Scenario Controls'!$B$12)))/MAX(1,(('Scenario Controls'!$B$14*AVERAGE('Expense Forecast'!$B$8:$Y$8)+'Scenario Controls'!$B$15+'Scenario Controls'!$B$16)-(('Scenario Controls'!$B$6+24*'Scenario Controls'!$B$8*1.2-12*'Scenario Controls'!$B$6*'Scenario Controls'!$B$9*1)*'Scenario Controls'!$B$7*'Scenario Controls'!$B$12))))</x:f>
        <x:v>116.93584104421507</x:v>
      </x:c>
      <x:c r="E10" s="48" t="n">
        <x:f>MAX(0,('Scenario Controls'!$B$5-24*(('Scenario Controls'!$B$14*AVERAGE('Expense Forecast'!$B$8:$Y$8)+'Scenario Controls'!$B$15+'Scenario Controls'!$B$16)-(('Scenario Controls'!$B$6+24*'Scenario Controls'!$B$8*1.2-12*'Scenario Controls'!$B$6*'Scenario Controls'!$B$9*1.1)*'Scenario Controls'!$B$7*'Scenario Controls'!$B$12)))/MAX(1,(('Scenario Controls'!$B$14*AVERAGE('Expense Forecast'!$B$8:$Y$8)+'Scenario Controls'!$B$15+'Scenario Controls'!$B$16)-(('Scenario Controls'!$B$6+24*'Scenario Controls'!$B$8*1.2-12*'Scenario Controls'!$B$6*'Scenario Controls'!$B$9*1.1)*'Scenario Controls'!$B$7*'Scenario Controls'!$B$12))))</x:f>
        <x:v>99.37326916186228</x:v>
      </x:c>
      <x:c r="F10" s="48" t="n">
        <x:f>MAX(0,('Scenario Controls'!$B$5-24*(('Scenario Controls'!$B$14*AVERAGE('Expense Forecast'!$B$8:$Y$8)+'Scenario Controls'!$B$15+'Scenario Controls'!$B$16)-(('Scenario Controls'!$B$6+24*'Scenario Controls'!$B$8*1.2-12*'Scenario Controls'!$B$6*'Scenario Controls'!$B$9*1.2)*'Scenario Controls'!$B$7*'Scenario Controls'!$B$12)))/MAX(1,(('Scenario Controls'!$B$14*AVERAGE('Expense Forecast'!$B$8:$Y$8)+'Scenario Controls'!$B$15+'Scenario Controls'!$B$16)-(('Scenario Controls'!$B$6+24*'Scenario Controls'!$B$8*1.2-12*'Scenario Controls'!$B$6*'Scenario Controls'!$B$9*1.2)*'Scenario Controls'!$B$7*'Scenario Controls'!$B$12))))</x:f>
        <x:v>85.70277323696065</x:v>
      </x:c>
      <x:c r="G10" s="21"/>
      <x:c r="H10" s="21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15" hidden="0" customHeight="1">
      <x:c r="A1" s="20" t="str">
        <x:v>Executive Dashboard</x:v>
      </x:c>
      <x:c r="B1" s="20" t="str">
        <x:v>Executive Dashboard</x:v>
      </x:c>
      <x:c r="C1" s="20" t="str">
        <x:v>Executive Dashboard</x:v>
      </x:c>
      <x:c r="D1" s="20" t="str">
        <x:v>Executive Dashboard</x:v>
      </x:c>
      <x:c r="E1" s="20" t="str">
        <x:v>Executive Dashboard</x:v>
      </x:c>
      <x:c r="F1" s="20" t="str">
        <x:v>Executive Dashboard</x:v>
      </x:c>
      <x:c r="G1" s="20" t="str">
        <x:v>Executive Dashboard</x:v>
      </x:c>
      <x:c r="H1" s="20" t="str">
        <x:v>Executive Dashboard</x:v>
      </x:c>
    </x:row>
    <x:row r="2" ht="15" hidden="0" customHeight="1">
      <x:c r="A2" s="21"/>
      <x:c r="B2" s="21"/>
      <x:c r="C2" s="21"/>
      <x:c r="D2" s="21"/>
      <x:c r="E2" s="21"/>
      <x:c r="F2" s="21"/>
      <x:c r="G2" s="21"/>
      <x:c r="H2" s="21"/>
    </x:row>
    <x:row r="3" ht="15" hidden="0" customHeight="1">
      <x:c r="A3" s="20" t="str">
        <x:v>Selected Scenario</x:v>
      </x:c>
      <x:c r="B3" s="20" t="str">
        <x:v>MRR</x:v>
      </x:c>
      <x:c r="C3" s="20" t="str">
        <x:v>ARR</x:v>
      </x:c>
      <x:c r="D3" s="20" t="str">
        <x:v>Ending Cash</x:v>
      </x:c>
      <x:c r="E3" s="20" t="str">
        <x:v>Runway</x:v>
      </x:c>
      <x:c r="F3" s="20" t="str">
        <x:v>Burn</x:v>
      </x:c>
      <x:c r="G3" s="20" t="str">
        <x:v>CAC Payback</x:v>
      </x:c>
      <x:c r="H3" s="20" t="str">
        <x:v>Headcount</x:v>
      </x:c>
    </x:row>
    <x:row r="4" ht="15" hidden="0" customHeight="1">
      <x:c r="A4" s="51" t="str">
        <x:f>'Scenario Controls'!$B$3</x:f>
        <x:v>Base</x:v>
      </x:c>
      <x:c r="B4" s="52" t="n">
        <x:f>'Cash Flow'!Y4</x:f>
        <x:v>1254454.2626301553</x:v>
      </x:c>
      <x:c r="C4" s="52" t="n">
        <x:f>'Revenue Forecast'!Y10</x:f>
        <x:v>15053451.151561864</x:v>
      </x:c>
      <x:c r="D4" s="52" t="n">
        <x:f>'Cash Flow'!Y8</x:f>
        <x:v>3181323.5470176674</x:v>
      </x:c>
      <x:c r="E4" s="53" t="n">
        <x:f>'Cash Flow'!Y9</x:f>
        <x:v>3.2094846075704475</x:v>
      </x:c>
      <x:c r="F4" s="52" t="n">
        <x:f>'Cash Flow'!Y7</x:f>
        <x:v>991225.6751484788</x:v>
      </x:c>
      <x:c r="G4" s="53" t="n">
        <x:f>'Cash Flow'!Y12</x:f>
        <x:v>2.185736148436463</x:v>
      </x:c>
      <x:c r="H4" s="54" t="n">
        <x:f>'Cash Flow'!Y11</x:f>
        <x:v>106</x:v>
      </x:c>
    </x:row>
    <x:row r="5" ht="15" hidden="0" customHeight="1">
      <x:c r="A5" s="21"/>
      <x:c r="B5" s="21"/>
      <x:c r="C5" s="21"/>
      <x:c r="D5" s="21"/>
      <x:c r="E5" s="21"/>
      <x:c r="F5" s="21"/>
      <x:c r="G5" s="21"/>
      <x:c r="H5" s="21"/>
    </x:row>
    <x:row r="6" ht="15" hidden="0" customHeight="1">
      <x:c r="A6" s="21"/>
      <x:c r="B6" s="21"/>
      <x:c r="C6" s="21"/>
      <x:c r="D6" s="21"/>
      <x:c r="E6" s="21"/>
      <x:c r="F6" s="21"/>
      <x:c r="G6" s="21"/>
      <x:c r="H6" s="21"/>
    </x:row>
    <x:row r="7" ht="15" hidden="0" customHeight="1">
      <x:c r="A7" s="57" t="str">
        <x:v>Month</x:v>
      </x:c>
      <x:c r="B7" s="58" t="str">
        <x:v>MRR</x:v>
      </x:c>
      <x:c r="C7" s="58" t="str">
        <x:v>Ending Cash</x:v>
      </x:c>
      <x:c r="D7" s="59" t="str">
        <x:v>Net Burn</x:v>
      </x:c>
      <x:c r="E7" s="21"/>
      <x:c r="F7" s="27" t="str">
        <x:v>Month</x:v>
      </x:c>
      <x:c r="G7" s="32" t="str">
        <x:v>Headcount</x:v>
      </x:c>
      <x:c r="H7" s="33" t="str">
        <x:v>ARR</x:v>
      </x:c>
    </x:row>
    <x:row r="8" ht="15" hidden="0" customHeight="1">
      <x:c r="A8" s="31" t="str">
        <x:f>TEXT('Cash Flow'!B3,"mmm yyyy")</x:f>
        <x:v>Jan 2026</x:v>
      </x:c>
      <x:c r="B8" s="35" t="n">
        <x:f>'Cash Flow'!B4</x:f>
        <x:v>793429.7856</x:v>
      </x:c>
      <x:c r="C8" s="35" t="n">
        <x:f>'Cash Flow'!B8</x:f>
        <x:v>19577175.232768</x:v>
      </x:c>
      <x:c r="D8" s="35" t="n">
        <x:f>'Cash Flow'!B7</x:f>
        <x:v>422824.767232</x:v>
      </x:c>
      <x:c r="E8" s="21"/>
      <x:c r="F8" s="31" t="str">
        <x:f>TEXT('Cash Flow'!B3,"mmm yyyy")</x:f>
        <x:v>Jan 2026</x:v>
      </x:c>
      <x:c r="G8" s="36" t="n">
        <x:f>'Cash Flow'!B11</x:f>
        <x:v>42</x:v>
      </x:c>
      <x:c r="H8" s="35" t="n">
        <x:f>'Revenue Forecast'!B10</x:f>
        <x:v>9521157.427199999</x:v>
      </x:c>
    </x:row>
    <x:row r="9" ht="15" hidden="0" customHeight="1">
      <x:c r="A9" s="31" t="str">
        <x:f>TEXT('Cash Flow'!C3,"mmm yyyy")</x:f>
        <x:v>Feb 2026</x:v>
      </x:c>
      <x:c r="B9" s="35" t="n">
        <x:f>'Cash Flow'!C4</x:f>
        <x:v>815796.2153928193</x:v>
      </x:c>
      <x:c r="C9" s="35" t="n">
        <x:f>'Cash Flow'!C8</x:f>
        <x:v>19142796.2807744</x:v>
      </x:c>
      <x:c r="D9" s="35" t="n">
        <x:f>'Cash Flow'!C7</x:f>
        <x:v>434378.95199360093</x:v>
      </x:c>
      <x:c r="E9" s="21"/>
      <x:c r="F9" s="31" t="str">
        <x:f>TEXT('Cash Flow'!C3,"mmm yyyy")</x:f>
        <x:v>Feb 2026</x:v>
      </x:c>
      <x:c r="G9" s="36" t="n">
        <x:f>'Cash Flow'!C11</x:f>
        <x:v>44</x:v>
      </x:c>
      <x:c r="H9" s="35" t="n">
        <x:f>'Revenue Forecast'!C10</x:f>
        <x:v>9789554.584713832</x:v>
      </x:c>
    </x:row>
    <x:row r="10" ht="15" hidden="0" customHeight="1">
      <x:c r="A10" s="31" t="str">
        <x:f>TEXT('Cash Flow'!D3,"mmm yyyy")</x:f>
        <x:v>Mar 2026</x:v>
      </x:c>
      <x:c r="B10" s="35" t="n">
        <x:f>'Cash Flow'!D4</x:f>
        <x:v>837906.5572576711</x:v>
      </x:c>
      <x:c r="C10" s="35" t="n">
        <x:f>'Cash Flow'!D8</x:f>
        <x:v>18682163.39543538</x:v>
      </x:c>
      <x:c r="D10" s="35" t="n">
        <x:f>'Cash Flow'!D7</x:f>
        <x:v>460632.88533901644</x:v>
      </x:c>
      <x:c r="E10" s="21"/>
      <x:c r="F10" s="31" t="str">
        <x:f>TEXT('Cash Flow'!D3,"mmm yyyy")</x:f>
        <x:v>Mar 2026</x:v>
      </x:c>
      <x:c r="G10" s="36" t="n">
        <x:f>'Cash Flow'!D11</x:f>
        <x:v>47</x:v>
      </x:c>
      <x:c r="H10" s="35" t="n">
        <x:f>'Revenue Forecast'!D10</x:f>
        <x:v>10054878.687092055</x:v>
      </x:c>
    </x:row>
    <x:row r="11" ht="15" hidden="0" customHeight="1">
      <x:c r="A11" s="31" t="str">
        <x:f>TEXT('Cash Flow'!E3,"mmm yyyy")</x:f>
        <x:v>Apr 2026</x:v>
      </x:c>
      <x:c r="B11" s="35" t="n">
        <x:f>'Cash Flow'!E4</x:f>
        <x:v>859767.9265382692</x:v>
      </x:c>
      <x:c r="C11" s="35" t="n">
        <x:f>'Cash Flow'!E8</x:f>
        <x:v>18195082.37813523</x:v>
      </x:c>
      <x:c r="D11" s="35" t="n">
        <x:f>'Cash Flow'!E7</x:f>
        <x:v>487081.01730015</x:v>
      </x:c>
      <x:c r="E11" s="21"/>
      <x:c r="F11" s="31" t="str">
        <x:f>TEXT('Cash Flow'!E3,"mmm yyyy")</x:f>
        <x:v>Apr 2026</x:v>
      </x:c>
      <x:c r="G11" s="36" t="n">
        <x:f>'Cash Flow'!E11</x:f>
        <x:v>50</x:v>
      </x:c>
      <x:c r="H11" s="35" t="n">
        <x:f>'Revenue Forecast'!E10</x:f>
        <x:v>10317215.11845923</x:v>
      </x:c>
    </x:row>
    <x:row r="12" ht="15" hidden="0" customHeight="1">
      <x:c r="A12" s="31" t="str">
        <x:f>TEXT('Cash Flow'!F3,"mmm yyyy")</x:f>
        <x:v>May 2026</x:v>
      </x:c>
      <x:c r="B12" s="35" t="n">
        <x:f>'Cash Flow'!F4</x:f>
        <x:v>881387.2894757063</x:v>
      </x:c>
      <x:c r="C12" s="35" t="n">
        <x:f>'Cash Flow'!F8</x:f>
        <x:v>17681364.46392628</x:v>
      </x:c>
      <x:c r="D12" s="35" t="n">
        <x:f>'Cash Flow'!F7</x:f>
        <x:v>513717.9142089491</x:v>
      </x:c>
      <x:c r="E12" s="21"/>
      <x:c r="F12" s="31" t="str">
        <x:f>TEXT('Cash Flow'!F3,"mmm yyyy")</x:f>
        <x:v>May 2026</x:v>
      </x:c>
      <x:c r="G12" s="36" t="n">
        <x:f>'Cash Flow'!F11</x:f>
        <x:v>53</x:v>
      </x:c>
      <x:c r="H12" s="35" t="n">
        <x:f>'Revenue Forecast'!F10</x:f>
        <x:v>10576647.473708475</x:v>
      </x:c>
    </x:row>
    <x:row r="13" ht="15" hidden="0" customHeight="1">
      <x:c r="A13" s="31" t="str">
        <x:f>TEXT('Cash Flow'!G3,"mmm yyyy")</x:f>
        <x:v>Jun 2026</x:v>
      </x:c>
      <x:c r="B13" s="35" t="n">
        <x:f>'Cash Flow'!G4</x:f>
        <x:v>902771.4665655438</x:v>
      </x:c>
      <x:c r="C13" s="35" t="n">
        <x:f>'Cash Flow'!G8</x:f>
        <x:v>17155326.207847405</x:v>
      </x:c>
      <x:c r="D13" s="35" t="n">
        <x:f>'Cash Flow'!G7</x:f>
        <x:v>526038.2560788759</x:v>
      </x:c>
      <x:c r="E13" s="21"/>
      <x:c r="F13" s="31" t="str">
        <x:f>TEXT('Cash Flow'!G3,"mmm yyyy")</x:f>
        <x:v>Jun 2026</x:v>
      </x:c>
      <x:c r="G13" s="36" t="n">
        <x:f>'Cash Flow'!G11</x:f>
        <x:v>55</x:v>
      </x:c>
      <x:c r="H13" s="35" t="n">
        <x:f>'Revenue Forecast'!G10</x:f>
        <x:v>10833257.598786525</x:v>
      </x:c>
    </x:row>
    <x:row r="14" ht="15" hidden="0" customHeight="1">
      <x:c r="A14" s="31" t="str">
        <x:f>TEXT('Cash Flow'!H3,"mmm yyyy")</x:f>
        <x:v>Jul 2026</x:v>
      </x:c>
      <x:c r="B14" s="35" t="n">
        <x:f>'Cash Flow'!H4</x:f>
        <x:v>923927.1358407915</x:v>
      </x:c>
      <x:c r="C14" s="35" t="n">
        <x:f>'Cash Flow'!H8</x:f>
        <x:v>16587789.373803223</x:v>
      </x:c>
      <x:c r="D14" s="35" t="n">
        <x:f>'Cash Flow'!H7</x:f>
        <x:v>567536.8340441826</x:v>
      </x:c>
      <x:c r="E14" s="21"/>
      <x:c r="F14" s="31" t="str">
        <x:f>TEXT('Cash Flow'!H3,"mmm yyyy")</x:f>
        <x:v>Jul 2026</x:v>
      </x:c>
      <x:c r="G14" s="36" t="n">
        <x:f>'Cash Flow'!H11</x:f>
        <x:v>59</x:v>
      </x:c>
      <x:c r="H14" s="35" t="n">
        <x:f>'Revenue Forecast'!H10</x:f>
        <x:v>11087125.630089499</x:v>
      </x:c>
    </x:row>
    <x:row r="15" ht="15" hidden="0" customHeight="1">
      <x:c r="A15" s="31" t="str">
        <x:f>TEXT('Cash Flow'!I3,"mmm yyyy")</x:f>
        <x:v>Aug 2026</x:v>
      </x:c>
      <x:c r="B15" s="35" t="n">
        <x:f>'Cash Flow'!I4</x:f>
        <x:v>944860.8360824219</x:v>
      </x:c>
      <x:c r="C15" s="35" t="n">
        <x:f>'Cash Flow'!I8</x:f>
        <x:v>16007580.825947512</x:v>
      </x:c>
      <x:c r="D15" s="35" t="n">
        <x:f>'Cash Flow'!I7</x:f>
        <x:v>580208.5478557108</x:v>
      </x:c>
      <x:c r="E15" s="21"/>
      <x:c r="F15" s="31" t="str">
        <x:f>TEXT('Cash Flow'!I3,"mmm yyyy")</x:f>
        <x:v>Aug 2026</x:v>
      </x:c>
      <x:c r="G15" s="36" t="n">
        <x:f>'Cash Flow'!I11</x:f>
        <x:v>61</x:v>
      </x:c>
      <x:c r="H15" s="35" t="n">
        <x:f>'Revenue Forecast'!I10</x:f>
        <x:v>11338330.032989062</x:v>
      </x:c>
    </x:row>
    <x:row r="16" ht="15" hidden="0" customHeight="1">
      <x:c r="A16" s="31" t="str">
        <x:f>TEXT('Cash Flow'!J3,"mmm yyyy")</x:f>
        <x:v>Sep 2026</x:v>
      </x:c>
      <x:c r="B16" s="35" t="n">
        <x:f>'Cash Flow'!J4</x:f>
        <x:v>965578.9699590296</x:v>
      </x:c>
      <x:c r="C16" s="35" t="n">
        <x:f>'Cash Flow'!J8</x:f>
        <x:v>15400032.422515554</x:v>
      </x:c>
      <x:c r="D16" s="35" t="n">
        <x:f>'Cash Flow'!J7</x:f>
        <x:v>607548.4034319569</x:v>
      </x:c>
      <x:c r="E16" s="21"/>
      <x:c r="F16" s="31" t="str">
        <x:f>TEXT('Cash Flow'!J3,"mmm yyyy")</x:f>
        <x:v>Sep 2026</x:v>
      </x:c>
      <x:c r="G16" s="36" t="n">
        <x:f>'Cash Flow'!J11</x:f>
        <x:v>64</x:v>
      </x:c>
      <x:c r="H16" s="35" t="n">
        <x:f>'Revenue Forecast'!J10</x:f>
        <x:v>11586947.639508355</x:v>
      </x:c>
    </x:row>
    <x:row r="17" ht="15" hidden="0" customHeight="1">
      <x:c r="A17" s="31" t="str">
        <x:f>TEXT('Cash Flow'!K3,"mmm yyyy")</x:f>
        <x:v>Oct 2026</x:v>
      </x:c>
      <x:c r="B17" s="35" t="n">
        <x:f>'Cash Flow'!K4</x:f>
        <x:v>986087.8070972059</x:v>
      </x:c>
      <x:c r="C17" s="35" t="n">
        <x:f>'Cash Flow'!K8</x:f>
        <x:v>14764980.912051376</x:v>
      </x:c>
      <x:c r="D17" s="35" t="n">
        <x:f>'Cash Flow'!K7</x:f>
        <x:v>635051.5104641793</x:v>
      </x:c>
      <x:c r="E17" s="21"/>
      <x:c r="F17" s="31" t="str">
        <x:f>TEXT('Cash Flow'!K3,"mmm yyyy")</x:f>
        <x:v>Oct 2026</x:v>
      </x:c>
      <x:c r="G17" s="36" t="n">
        <x:f>'Cash Flow'!K11</x:f>
        <x:v>67</x:v>
      </x:c>
      <x:c r="H17" s="35" t="n">
        <x:f>'Revenue Forecast'!K10</x:f>
        <x:v>11833053.68516647</x:v>
      </x:c>
    </x:row>
    <x:row r="18" ht="15" hidden="0" customHeight="1">
      <x:c r="A18" s="31" t="str">
        <x:f>TEXT('Cash Flow'!L3,"mmm yyyy")</x:f>
        <x:v>Nov 2026</x:v>
      </x:c>
      <x:c r="B18" s="35" t="n">
        <x:f>'Cash Flow'!L4</x:f>
        <x:v>1006393.4870841685</x:v>
      </x:c>
      <x:c r="C18" s="35" t="n">
        <x:f>'Cash Flow'!L8</x:f>
        <x:v>14102267.831977027</x:v>
      </x:c>
      <x:c r="D18" s="35" t="n">
        <x:f>'Cash Flow'!L7</x:f>
        <x:v>662713.0800743486</x:v>
      </x:c>
      <x:c r="E18" s="21"/>
      <x:c r="F18" s="31" t="str">
        <x:f>TEXT('Cash Flow'!L3,"mmm yyyy")</x:f>
        <x:v>Nov 2026</x:v>
      </x:c>
      <x:c r="G18" s="36" t="n">
        <x:f>'Cash Flow'!L11</x:f>
        <x:v>70</x:v>
      </x:c>
      <x:c r="H18" s="35" t="n">
        <x:f>'Revenue Forecast'!L10</x:f>
        <x:v>12076721.845010022</x:v>
      </x:c>
    </x:row>
    <x:row r="19" ht="15" hidden="0" customHeight="1">
      <x:c r="A19" s="31" t="str">
        <x:f>TEXT('Cash Flow'!M3,"mmm yyyy")</x:f>
        <x:v>Dec 2026</x:v>
      </x:c>
      <x:c r="B19" s="35" t="n">
        <x:f>'Cash Flow'!M4</x:f>
        <x:v>1026502.0224041484</x:v>
      </x:c>
      <x:c r="C19" s="35" t="n">
        <x:f>'Cash Flow'!M8</x:f>
        <x:v>13426239.409452263</x:v>
      </x:c>
      <x:c r="D19" s="35" t="n">
        <x:f>'Cash Flow'!M7</x:f>
        <x:v>676028.4225247642</x:v>
      </x:c>
      <x:c r="E19" s="21"/>
      <x:c r="F19" s="31" t="str">
        <x:f>TEXT('Cash Flow'!M3,"mmm yyyy")</x:f>
        <x:v>Dec 2026</x:v>
      </x:c>
      <x:c r="G19" s="36" t="n">
        <x:f>'Cash Flow'!M11</x:f>
        <x:v>72</x:v>
      </x:c>
      <x:c r="H19" s="35" t="n">
        <x:f>'Revenue Forecast'!M10</x:f>
        <x:v>12318024.26884978</x:v>
      </x:c>
    </x:row>
    <x:row r="20" ht="15" hidden="0" customHeight="1">
      <x:c r="A20" s="31" t="str">
        <x:f>TEXT('Cash Flow'!N3,"mmm yyyy")</x:f>
        <x:v>Jan 2027</x:v>
      </x:c>
      <x:c r="B20" s="35" t="n">
        <x:f>'Cash Flow'!N4</x:f>
        <x:v>1046419.3013100048</x:v>
      </x:c>
      <x:c r="C20" s="35" t="n">
        <x:f>'Cash Flow'!N8</x:f>
        <x:v>12707746.464474067</x:v>
      </x:c>
      <x:c r="D20" s="35" t="n">
        <x:f>'Cash Flow'!N7</x:f>
        <x:v>718492.9449781963</x:v>
      </x:c>
      <x:c r="E20" s="21"/>
      <x:c r="F20" s="31" t="str">
        <x:f>TEXT('Cash Flow'!N3,"mmm yyyy")</x:f>
        <x:v>Jan 2027</x:v>
      </x:c>
      <x:c r="G20" s="36" t="n">
        <x:f>'Cash Flow'!N11</x:f>
        <x:v>76</x:v>
      </x:c>
      <x:c r="H20" s="35" t="n">
        <x:f>'Revenue Forecast'!N10</x:f>
        <x:v>12557031.615720058</x:v>
      </x:c>
    </x:row>
    <x:row r="21" ht="15" hidden="0" customHeight="1">
      <x:c r="A21" s="31" t="str">
        <x:f>TEXT('Cash Flow'!O3,"mmm yyyy")</x:f>
        <x:v>Feb 2027</x:v>
      </x:c>
      <x:c r="B21" s="35" t="n">
        <x:f>'Cash Flow'!O4</x:f>
        <x:v>1066151.0906315073</x:v>
      </x:c>
      <x:c r="C21" s="35" t="n">
        <x:f>'Cash Flow'!O8</x:f>
        <x:v>11975644.315166643</x:v>
      </x:c>
      <x:c r="D21" s="35" t="n">
        <x:f>'Cash Flow'!O7</x:f>
        <x:v>732102.1493074242</x:v>
      </x:c>
      <x:c r="E21" s="21"/>
      <x:c r="F21" s="31" t="str">
        <x:f>TEXT('Cash Flow'!O3,"mmm yyyy")</x:f>
        <x:v>Feb 2027</x:v>
      </x:c>
      <x:c r="G21" s="36" t="n">
        <x:f>'Cash Flow'!O11</x:f>
        <x:v>78</x:v>
      </x:c>
      <x:c r="H21" s="35" t="n">
        <x:f>'Revenue Forecast'!O10</x:f>
        <x:v>12793813.087578088</x:v>
      </x:c>
    </x:row>
    <x:row r="22" ht="15" hidden="0" customHeight="1">
      <x:c r="A22" s="31" t="str">
        <x:f>TEXT('Cash Flow'!P3,"mmm yyyy")</x:f>
        <x:v>Mar 2027</x:v>
      </x:c>
      <x:c r="B22" s="35" t="n">
        <x:f>'Cash Flow'!P4</x:f>
        <x:v>1085703.0385216882</x:v>
      </x:c>
      <x:c r="C22" s="35" t="n">
        <x:f>'Cash Flow'!P8</x:f>
        <x:v>11215292.68521356</x:v>
      </x:c>
      <x:c r="D22" s="35" t="n">
        <x:f>'Cash Flow'!P7</x:f>
        <x:v>760351.6299530832</x:v>
      </x:c>
      <x:c r="E22" s="21"/>
      <x:c r="F22" s="31" t="str">
        <x:f>TEXT('Cash Flow'!P3,"mmm yyyy")</x:f>
        <x:v>Mar 2027</x:v>
      </x:c>
      <x:c r="G22" s="36" t="n">
        <x:f>'Cash Flow'!P11</x:f>
        <x:v>81</x:v>
      </x:c>
      <x:c r="H22" s="35" t="n">
        <x:f>'Revenue Forecast'!P10</x:f>
        <x:v>13028436.462260257</x:v>
      </x:c>
    </x:row>
    <x:row r="23" ht="15" hidden="0" customHeight="1">
      <x:c r="A23" s="31" t="str">
        <x:f>TEXT('Cash Flow'!Q3,"mmm yyyy")</x:f>
        <x:v>Apr 2027</x:v>
      </x:c>
      <x:c r="B23" s="35" t="n">
        <x:f>'Cash Flow'!Q4</x:f>
        <x:v>1105080.6771426436</x:v>
      </x:c>
      <x:c r="C23" s="35" t="n">
        <x:f>'Cash Flow'!Q8</x:f>
        <x:v>10426555.613384822</x:v>
      </x:c>
      <x:c r="D23" s="35" t="n">
        <x:f>'Cash Flow'!Q7</x:f>
        <x:v>788737.071828738</x:v>
      </x:c>
      <x:c r="E23" s="21"/>
      <x:c r="F23" s="31" t="str">
        <x:f>TEXT('Cash Flow'!Q3,"mmm yyyy")</x:f>
        <x:v>Apr 2027</x:v>
      </x:c>
      <x:c r="G23" s="36" t="n">
        <x:f>'Cash Flow'!Q11</x:f>
        <x:v>84</x:v>
      </x:c>
      <x:c r="H23" s="35" t="n">
        <x:f>'Revenue Forecast'!Q10</x:f>
        <x:v>13260968.125711724</x:v>
      </x:c>
    </x:row>
    <x:row r="24" ht="15" hidden="0" customHeight="1">
      <x:c r="A24" s="31" t="str">
        <x:f>TEXT('Cash Flow'!R3,"mmm yyyy")</x:f>
        <x:v>May 2027</x:v>
      </x:c>
      <x:c r="B24" s="35" t="n">
        <x:f>'Cash Flow'!R4</x:f>
        <x:v>1124289.425292123</x:v>
      </x:c>
      <x:c r="C24" s="35" t="n">
        <x:f>'Cash Flow'!R8</x:f>
        <x:v>9609301.36511268</x:v>
      </x:c>
      <x:c r="D24" s="35" t="n">
        <x:f>'Cash Flow'!R7</x:f>
        <x:v>817254.248272144</x:v>
      </x:c>
      <x:c r="E24" s="21"/>
      <x:c r="F24" s="31" t="str">
        <x:f>TEXT('Cash Flow'!R3,"mmm yyyy")</x:f>
        <x:v>May 2027</x:v>
      </x:c>
      <x:c r="G24" s="36" t="n">
        <x:f>'Cash Flow'!R11</x:f>
        <x:v>87</x:v>
      </x:c>
      <x:c r="H24" s="35" t="n">
        <x:f>'Revenue Forecast'!R10</x:f>
        <x:v>13491473.103505477</x:v>
      </x:c>
    </x:row>
    <x:row r="25" ht="15" hidden="0" customHeight="1">
      <x:c r="A25" s="31" t="str">
        <x:f>TEXT('Cash Flow'!S3,"mmm yyyy")</x:f>
        <x:v>Jun 2027</x:v>
      </x:c>
      <x:c r="B25" s="35" t="n">
        <x:f>'Cash Flow'!S4</x:f>
        <x:v>1143334.5909722273</x:v>
      </x:c>
      <x:c r="C25" s="35" t="n">
        <x:f>'Cash Flow'!S8</x:f>
        <x:v>8777902.346071016</x:v>
      </x:c>
      <x:c r="D25" s="35" t="n">
        <x:f>'Cash Flow'!S7</x:f>
        <x:v>831399.0190416627</x:v>
      </x:c>
      <x:c r="E25" s="21"/>
      <x:c r="F25" s="31" t="str">
        <x:f>TEXT('Cash Flow'!S3,"mmm yyyy")</x:f>
        <x:v>Jun 2027</x:v>
      </x:c>
      <x:c r="G25" s="36" t="n">
        <x:f>'Cash Flow'!S11</x:f>
        <x:v>89</x:v>
      </x:c>
      <x:c r="H25" s="35" t="n">
        <x:f>'Revenue Forecast'!S10</x:f>
        <x:v>13720015.091666728</x:v>
      </x:c>
    </x:row>
    <x:row r="26" ht="15" hidden="0" customHeight="1">
      <x:c r="A26" s="31" t="str">
        <x:f>TEXT('Cash Flow'!T3,"mmm yyyy")</x:f>
        <x:v>Jul 2027</x:v>
      </x:c>
      <x:c r="B26" s="35" t="n">
        <x:f>'Cash Flow'!T4</x:f>
        <x:v>1162221.3739014943</x:v>
      </x:c>
      <x:c r="C26" s="35" t="n">
        <x:f>'Cash Flow'!T8</x:f>
        <x:v>7903235.017714182</x:v>
      </x:c>
      <x:c r="D26" s="35" t="n">
        <x:f>'Cash Flow'!T7</x:f>
        <x:v>874667.3283568344</x:v>
      </x:c>
      <x:c r="E26" s="21"/>
      <x:c r="F26" s="31" t="str">
        <x:f>TEXT('Cash Flow'!T3,"mmm yyyy")</x:f>
        <x:v>Jul 2027</x:v>
      </x:c>
      <x:c r="G26" s="36" t="n">
        <x:f>'Cash Flow'!T11</x:f>
        <x:v>93</x:v>
      </x:c>
      <x:c r="H26" s="35" t="n">
        <x:f>'Revenue Forecast'!T10</x:f>
        <x:v>13946656.486817932</x:v>
      </x:c>
    </x:row>
    <x:row r="27" ht="15" hidden="0" customHeight="1">
      <x:c r="A27" s="31" t="str">
        <x:f>TEXT('Cash Flow'!U3,"mmm yyyy")</x:f>
        <x:v>Aug 2027</x:v>
      </x:c>
      <x:c r="B27" s="35" t="n">
        <x:f>'Cash Flow'!U4</x:f>
        <x:v>1180954.8679716373</x:v>
      </x:c>
      <x:c r="C27" s="35" t="n">
        <x:f>'Cash Flow'!U8</x:f>
        <x:v>7014179.814732059</x:v>
      </x:c>
      <x:c r="D27" s="35" t="n">
        <x:f>'Cash Flow'!U7</x:f>
        <x:v>889055.2029821229</x:v>
      </x:c>
      <x:c r="E27" s="21"/>
      <x:c r="F27" s="31" t="str">
        <x:f>TEXT('Cash Flow'!U3,"mmm yyyy")</x:f>
        <x:v>Aug 2027</x:v>
      </x:c>
      <x:c r="G27" s="36" t="n">
        <x:f>'Cash Flow'!U11</x:f>
        <x:v>95</x:v>
      </x:c>
      <x:c r="H27" s="35" t="n">
        <x:f>'Revenue Forecast'!U10</x:f>
        <x:v>14171458.415659647</x:v>
      </x:c>
    </x:row>
    <x:row r="28" ht="15" hidden="0" customHeight="1">
      <x:c r="A28" s="31" t="str">
        <x:f>TEXT('Cash Flow'!V3,"mmm yyyy")</x:f>
        <x:v>Sep 2027</x:v>
      </x:c>
      <x:c r="B28" s="35" t="n">
        <x:f>'Cash Flow'!V4</x:f>
        <x:v>1199540.0636501538</x:v>
      </x:c>
      <x:c r="C28" s="35" t="n">
        <x:f>'Cash Flow'!V8</x:f>
        <x:v>6096121.064379179</x:v>
      </x:c>
      <x:c r="D28" s="35" t="n">
        <x:f>'Cash Flow'!V7</x:f>
        <x:v>918058.75035288</x:v>
      </x:c>
      <x:c r="E28" s="21"/>
      <x:c r="F28" s="31" t="str">
        <x:f>TEXT('Cash Flow'!V3,"mmm yyyy")</x:f>
        <x:v>Sep 2027</x:v>
      </x:c>
      <x:c r="G28" s="36" t="n">
        <x:f>'Cash Flow'!V11</x:f>
        <x:v>98</x:v>
      </x:c>
      <x:c r="H28" s="35" t="n">
        <x:f>'Revenue Forecast'!V10</x:f>
        <x:v>14394480.763801847</x:v>
      </x:c>
    </x:row>
    <x:row r="29" ht="15" hidden="0" customHeight="1">
      <x:c r="A29" s="31" t="str">
        <x:f>TEXT('Cash Flow'!W3,"mmm yyyy")</x:f>
        <x:v>Oct 2027</x:v>
      </x:c>
      <x:c r="B29" s="35" t="n">
        <x:f>'Cash Flow'!W4</x:f>
        <x:v>1217981.8503300196</x:v>
      </x:c>
      <x:c r="C29" s="35" t="n">
        <x:f>'Cash Flow'!W8</x:f>
        <x:v>5148946.907636594</x:v>
      </x:c>
      <x:c r="D29" s="35" t="n">
        <x:f>'Cash Flow'!W7</x:f>
        <x:v>947174.1567425847</x:v>
      </x:c>
      <x:c r="E29" s="21"/>
      <x:c r="F29" s="31" t="str">
        <x:f>TEXT('Cash Flow'!W3,"mmm yyyy")</x:f>
        <x:v>Oct 2027</x:v>
      </x:c>
      <x:c r="G29" s="36" t="n">
        <x:f>'Cash Flow'!W11</x:f>
        <x:v>101</x:v>
      </x:c>
      <x:c r="H29" s="35" t="n">
        <x:f>'Revenue Forecast'!W10</x:f>
        <x:v>14615782.203960236</x:v>
      </x:c>
    </x:row>
    <x:row r="30" ht="15" hidden="0" customHeight="1">
      <x:c r="A30" s="31" t="str">
        <x:f>TEXT('Cash Flow'!X3,"mmm yyyy")</x:f>
        <x:v>Nov 2027</x:v>
      </x:c>
      <x:c r="B30" s="35" t="n">
        <x:f>'Cash Flow'!X4</x:f>
        <x:v>1236285.018627631</x:v>
      </x:c>
      <x:c r="C30" s="35" t="n">
        <x:f>'Cash Flow'!X8</x:f>
        <x:v>4172549.222166146</x:v>
      </x:c>
      <x:c r="D30" s="35" t="n">
        <x:f>'Cash Flow'!X7</x:f>
        <x:v>976397.6854704478</x:v>
      </x:c>
      <x:c r="E30" s="21"/>
      <x:c r="F30" s="31" t="str">
        <x:f>TEXT('Cash Flow'!X3,"mmm yyyy")</x:f>
        <x:v>Nov 2027</x:v>
      </x:c>
      <x:c r="G30" s="36" t="n">
        <x:f>'Cash Flow'!X11</x:f>
        <x:v>104</x:v>
      </x:c>
      <x:c r="H30" s="35" t="n">
        <x:f>'Revenue Forecast'!X10</x:f>
        <x:v>14835420.223531572</x:v>
      </x:c>
    </x:row>
    <x:row r="31" ht="15" hidden="0" customHeight="1">
      <x:c r="A31" s="31" t="str">
        <x:f>TEXT('Cash Flow'!Y3,"mmm yyyy")</x:f>
        <x:v>Dec 2027</x:v>
      </x:c>
      <x:c r="B31" s="35" t="n">
        <x:f>'Cash Flow'!Y4</x:f>
        <x:v>1254454.2626301553</x:v>
      </x:c>
      <x:c r="C31" s="35" t="n">
        <x:f>'Cash Flow'!Y8</x:f>
        <x:v>3181323.5470176674</x:v>
      </x:c>
      <x:c r="D31" s="35" t="n">
        <x:f>'Cash Flow'!Y7</x:f>
        <x:v>991225.6751484788</x:v>
      </x:c>
      <x:c r="E31" s="21"/>
      <x:c r="F31" s="31" t="str">
        <x:f>TEXT('Cash Flow'!Y3,"mmm yyyy")</x:f>
        <x:v>Dec 2027</x:v>
      </x:c>
      <x:c r="G31" s="36" t="n">
        <x:f>'Cash Flow'!Y11</x:f>
        <x:v>106</x:v>
      </x:c>
      <x:c r="H31" s="35" t="n">
        <x:f>'Revenue Forecast'!Y10</x:f>
        <x:v>15053451.151561864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558a0ae56c8421a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.75" hidden="0" customWidth="1"/>
    <x:col min="3" max="3" width="12.75" hidden="0" customWidth="1"/>
    <x:col min="4" max="4" width="14.75" hidden="0" customWidth="1"/>
    <x:col min="5" max="5" width="5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15" hidden="0" customHeight="1">
      <x:c r="A1" s="20" t="str">
        <x:v>Validation Checks</x:v>
      </x:c>
      <x:c r="B1" s="20" t="str">
        <x:v>Validation Checks</x:v>
      </x:c>
      <x:c r="C1" s="20" t="str">
        <x:v>Validation Checks</x:v>
      </x:c>
      <x:c r="D1" s="20" t="str">
        <x:v>Validation Checks</x:v>
      </x:c>
      <x:c r="E1" s="20" t="str">
        <x:v>Validation Checks</x:v>
      </x:c>
    </x:row>
    <x:row r="2" ht="15" hidden="0" customHeight="1">
      <x:c r="A2" s="21"/>
      <x:c r="B2" s="21"/>
      <x:c r="C2" s="21"/>
      <x:c r="D2" s="21"/>
      <x:c r="E2" s="21"/>
    </x:row>
    <x:row r="3" ht="15" hidden="0" customHeight="1">
      <x:c r="A3" s="61" t="str">
        <x:v>MODEL STATUS</x:v>
      </x:c>
      <x:c r="B3" s="61" t="str">
        <x:f>IF(COUNTIF(B6:B10,"FAIL")=0,"PASS","FAIL")</x:f>
        <x:v>PASS</x:v>
      </x:c>
      <x:c r="C3" s="21"/>
      <x:c r="D3" s="21"/>
      <x:c r="E3" s="21"/>
    </x:row>
    <x:row r="4" ht="15" hidden="0" customHeight="1">
      <x:c r="A4" s="21"/>
      <x:c r="B4" s="21"/>
      <x:c r="C4" s="21"/>
      <x:c r="D4" s="21"/>
      <x:c r="E4" s="21"/>
    </x:row>
    <x:row r="5" ht="15" hidden="0" customHeight="1">
      <x:c r="A5" s="27" t="str">
        <x:v>Check</x:v>
      </x:c>
      <x:c r="B5" s="32" t="str">
        <x:v>Status</x:v>
      </x:c>
      <x:c r="C5" s="32" t="str">
        <x:v>Delta</x:v>
      </x:c>
      <x:c r="D5" s="32" t="str">
        <x:v>Where to fix</x:v>
      </x:c>
      <x:c r="E5" s="33" t="str">
        <x:v>Notes</x:v>
      </x:c>
    </x:row>
    <x:row r="6" ht="15" hidden="0" customHeight="1">
      <x:c r="A6" s="21" t="str">
        <x:v>Scenario is valid</x:v>
      </x:c>
      <x:c r="B6" s="21" t="str">
        <x:f>IF(COUNTIF('Assumptions'!$A$4:$A$6,'Scenario Controls'!$B$3)=1,"PASS","FAIL")</x:f>
        <x:v>PASS</x:v>
      </x:c>
      <x:c r="C6" s="62" t="n">
        <x:f>COUNTIF('Assumptions'!$A$4:$A$6,'Scenario Controls'!$B$3)-1</x:f>
        <x:v>0</x:v>
      </x:c>
      <x:c r="D6" s="21" t="str">
        <x:v>Scenario Controls!B3</x:v>
      </x:c>
      <x:c r="E6" s="23" t="str">
        <x:v>Selected scenario must exist in Assumptions.</x:v>
      </x:c>
    </x:row>
    <x:row r="7" ht="15" hidden="0" customHeight="1">
      <x:c r="A7" s="21" t="str">
        <x:v>Assumptions are populated</x:v>
      </x:c>
      <x:c r="B7" s="21" t="str">
        <x:f>IF(COUNTBLANK('Scenario Controls'!$B$5:$B$16)=0,"PASS","FAIL")</x:f>
        <x:v>PASS</x:v>
      </x:c>
      <x:c r="C7" s="62" t="n">
        <x:f>COUNTBLANK('Scenario Controls'!$B$5:$B$16)</x:f>
        <x:v>0</x:v>
      </x:c>
      <x:c r="D7" s="21" t="str">
        <x:v>Assumptions</x:v>
      </x:c>
      <x:c r="E7" s="23" t="str">
        <x:v>Required scenario input cells cannot be blank.</x:v>
      </x:c>
    </x:row>
    <x:row r="8" ht="15" hidden="0" customHeight="1">
      <x:c r="A8" s="21" t="str">
        <x:v>Customer roll-forward ties</x:v>
      </x:c>
      <x:c r="B8" s="21" t="str">
        <x:f>IF(ABS(C8)&lt;1,"PASS","FAIL")</x:f>
        <x:v>PASS</x:v>
      </x:c>
      <x:c r="C8" s="62" t="n">
        <x:f>SUM('Revenue Forecast'!B7:Y7-('Revenue Forecast'!B4:Y4+'Revenue Forecast'!B5:Y5-'Revenue Forecast'!B6:Y6))</x:f>
        <x:v>0</x:v>
      </x:c>
      <x:c r="D8" s="21" t="str">
        <x:v>Revenue Forecast</x:v>
      </x:c>
      <x:c r="E8" s="23" t="str">
        <x:v>Ending customers must equal beginning + new - churned.</x:v>
      </x:c>
    </x:row>
    <x:row r="9" ht="15" hidden="0" customHeight="1">
      <x:c r="A9" s="21" t="str">
        <x:v>Cash roll-forward ties</x:v>
      </x:c>
      <x:c r="B9" s="21" t="str">
        <x:f>IF(ABS(C9)&lt;1,"PASS","FAIL")</x:f>
        <x:v>PASS</x:v>
      </x:c>
      <x:c r="C9" s="62" t="n">
        <x:f>'Cash Flow'!B8-('Scenario Controls'!$B$5-'Cash Flow'!B7)+SUM('Cash Flow'!C8:Y8-('Cash Flow'!B8:X8-'Cash Flow'!C7:Y7))</x:f>
        <x:v>0</x:v>
      </x:c>
      <x:c r="D9" s="21" t="str">
        <x:v>Cash Flow</x:v>
      </x:c>
      <x:c r="E9" s="23" t="str">
        <x:v>Ending cash must reconcile from starting cash and monthly burn.</x:v>
      </x:c>
    </x:row>
    <x:row r="10" ht="15" hidden="0" customHeight="1">
      <x:c r="A10" s="21" t="str">
        <x:v>Ending cash remains positive</x:v>
      </x:c>
      <x:c r="B10" s="21" t="str">
        <x:f>IF(C10&gt;=0,"PASS","FAIL")</x:f>
        <x:v>PASS</x:v>
      </x:c>
      <x:c r="C10" s="62" t="n">
        <x:f>MIN('Cash Flow'!B8:Y8)</x:f>
        <x:v>3181323.5470176674</x:v>
      </x:c>
      <x:c r="D10" s="21" t="str">
        <x:v>Cash Flow</x:v>
      </x:c>
      <x:c r="E10" s="23" t="str">
        <x:v>Flag if forecast cash goes below zero.</x:v>
      </x:c>
    </x:row>
  </x:sheetData>
  <x:mergeCells>
    <x:mergeCell ref="A1:E1"/>
  </x:mergeCells>
  <x:pageMargins left="0.7" right="0.7" top="0.75" bottom="0.75" header="0.3" footer="0.3"/>
</x:worksheet>
</file>